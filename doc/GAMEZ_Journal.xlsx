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heckCompatibility="1"/>
  <mc:AlternateContent xmlns:mc="http://schemas.openxmlformats.org/markup-compatibility/2006">
    <mc:Choice Requires="x15">
      <x15ac:absPath xmlns:x15ac="http://schemas.microsoft.com/office/spreadsheetml/2010/11/ac" url="https://eduetatfr-my.sharepoint.com/personal/thibaudfrederic_gamez_studentfr_ch/Documents/TPI/tpi2026-codementor/doc/"/>
    </mc:Choice>
  </mc:AlternateContent>
  <xr:revisionPtr revIDLastSave="153" documentId="13_ncr:1_{13CFF3CE-B7E9-4BCF-976F-778AB771C7C3}" xr6:coauthVersionLast="47" xr6:coauthVersionMax="47" xr10:uidLastSave="{69EF6B18-716C-4D1C-A2E6-3717D768DB96}"/>
  <bookViews>
    <workbookView xWindow="-120" yWindow="-120" windowWidth="29040" windowHeight="15720" xr2:uid="{00000000-000D-0000-FFFF-FFFF00000000}"/>
  </bookViews>
  <sheets>
    <sheet name="Journal" sheetId="8" r:id="rId1"/>
  </sheets>
  <definedNames>
    <definedName name="_xlnm._FilterDatabase" localSheetId="0" hidden="1">Journal!$A$5:$HI$5</definedName>
    <definedName name="_xlnm.Print_Titles" localSheetId="0">Journal!$B:$D,Journal!$1:$5</definedName>
    <definedName name="_xlnm.Print_Area" localSheetId="0">Journal!$A$1:$D$88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8" i="8" l="1"/>
  <c r="D26" i="8"/>
  <c r="D65" i="8"/>
  <c r="D49" i="8"/>
  <c r="D86" i="8"/>
  <c r="D79" i="8"/>
  <c r="D72" i="8"/>
  <c r="D42" i="8"/>
  <c r="D35" i="8"/>
  <c r="D18" i="8"/>
  <c r="D11" i="8"/>
  <c r="D88" i="8" l="1"/>
</calcChain>
</file>

<file path=xl/sharedStrings.xml><?xml version="1.0" encoding="utf-8"?>
<sst xmlns="http://schemas.openxmlformats.org/spreadsheetml/2006/main" count="73" uniqueCount="51">
  <si>
    <t>Insérer les lignes au-dessus de celle-ci !</t>
  </si>
  <si>
    <t>Date</t>
  </si>
  <si>
    <t>Travail effectué</t>
  </si>
  <si>
    <t>[H.h]</t>
  </si>
  <si>
    <t>Temps</t>
  </si>
  <si>
    <t>Total &gt;</t>
  </si>
  <si>
    <r>
      <t xml:space="preserve">Réflexion personnelle </t>
    </r>
    <r>
      <rPr>
        <sz val="8"/>
        <rFont val="Calibri"/>
        <family val="2"/>
      </rPr>
      <t>↓↓↓</t>
    </r>
  </si>
  <si>
    <t>Total général &gt;</t>
  </si>
  <si>
    <r>
      <t>Projet :</t>
    </r>
    <r>
      <rPr>
        <b/>
        <sz val="14"/>
        <rFont val="Arial"/>
        <family val="2"/>
      </rPr>
      <t xml:space="preserve"> </t>
    </r>
    <r>
      <rPr>
        <sz val="14"/>
        <rFont val="Arial"/>
        <family val="2"/>
      </rPr>
      <t>CodeMentor</t>
    </r>
    <r>
      <rPr>
        <sz val="16"/>
        <rFont val="Arial"/>
        <family val="2"/>
      </rPr>
      <t xml:space="preserve">                      </t>
    </r>
  </si>
  <si>
    <t>Gamez Thibaud</t>
  </si>
  <si>
    <t>Lecture cahier des charges et préparation</t>
  </si>
  <si>
    <t>Planning</t>
  </si>
  <si>
    <t>Documentation des technos et cahier des charges</t>
  </si>
  <si>
    <t>Préparation de la réunion et réunion</t>
  </si>
  <si>
    <t>Rédaction du PV et envoie</t>
  </si>
  <si>
    <t>Création du diagramme usecase</t>
  </si>
  <si>
    <t>Travail sur le diagramme de séquence système</t>
  </si>
  <si>
    <t>Début du TPI, j'ai pris plus de temps que prévu pour le planning et la documentation</t>
  </si>
  <si>
    <t>diagramme ER de base de données</t>
  </si>
  <si>
    <t>Second jour, j'ai pu rattraper un peu le retard en avancant plus vite que prévu sur le diagramme ER et le usecase</t>
  </si>
  <si>
    <t>Finalisation diagrammes de séquence système (DSS2 et DSS3)</t>
  </si>
  <si>
    <t xml:space="preserve">Création des 3 diagrammes d'activité (Ajouter, Consulter résultats, Supprimer un projet) </t>
  </si>
  <si>
    <t xml:space="preserve">Réparation du diagramme des cas d'utilisation </t>
  </si>
  <si>
    <t>Decouverte d'un bug dans le diagramme des cas d'utilisation</t>
  </si>
  <si>
    <t>Maquette Stitch</t>
  </si>
  <si>
    <t>Création du diagramme de base de donnée</t>
  </si>
  <si>
    <t>J'ai bien avancé, j'ai découvert que mon usecase était cassé et j'ai du le refaire sinon la conception commence bien</t>
  </si>
  <si>
    <t>Diagramme de classe frontend</t>
  </si>
  <si>
    <t>Diagramme de classe backend</t>
  </si>
  <si>
    <t>Conception des endpoints API REST</t>
  </si>
  <si>
    <t>Conception des tests</t>
  </si>
  <si>
    <t>Structure MVC de base</t>
  </si>
  <si>
    <t>Création base de donnée</t>
  </si>
  <si>
    <t>Documentation conception</t>
  </si>
  <si>
    <t>Cette journée s'est bien passé, j'ai pu commencer l'implementation du backend en faisant la structure de base et la base de donnée. Je suis confiant</t>
  </si>
  <si>
    <t>La table "suggested_fix" complique les choses et n'est pas très utile</t>
  </si>
  <si>
    <t>Supression et changement des schémas et de la structure du code</t>
  </si>
  <si>
    <t>Ajout des tâches todolist</t>
  </si>
  <si>
    <t>Documentation</t>
  </si>
  <si>
    <t>J'ai pris du retard sur l'implémentation mais je pense pas que ca poseras problème</t>
  </si>
  <si>
    <t>Finalisation doc analyse</t>
  </si>
  <si>
    <t>Finalisation doc conception</t>
  </si>
  <si>
    <t>J'ai fais que de la documentation, toujours en retard du coup mais vais pouvoir le rattraper demain</t>
  </si>
  <si>
    <t>Réflexion sur les modèles et décision de ne pas en faire</t>
  </si>
  <si>
    <t>Implémentation authentification github</t>
  </si>
  <si>
    <t>Rendez-vous avec Meylan</t>
  </si>
  <si>
    <t>Implémentation du service github</t>
  </si>
  <si>
    <t>Service et endspoints projets</t>
  </si>
  <si>
    <t>Je me suis rendu compte après implémentation des modèles qu'ils étaient en fait inutile, j'ai donc décider de les retiré du code. L'implementation de l'authentification via github fonctionne parfaitement, les endpoints de projet sont fait et la récuperation des fichiers et projets git hub aussi. Je rattrapes mon leger retard</t>
  </si>
  <si>
    <t>Mise en place de la queue en mémoire</t>
  </si>
  <si>
    <t>Mise en place de l'analyse via le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</si>
</sst>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2"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
      <sz val="1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51">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11" fillId="0" borderId="0" xfId="0" applyFont="1" applyProtection="1">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11" fillId="4" borderId="0" xfId="0" applyFont="1" applyFill="1" applyProtection="1">
      <protection locked="0"/>
    </xf>
    <xf numFmtId="0" fontId="0" fillId="4" borderId="0" xfId="0" applyFill="1" applyProtection="1">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wrapText="1"/>
      <protection locked="0"/>
    </xf>
    <xf numFmtId="0" fontId="4" fillId="0" borderId="6" xfId="0" applyFont="1" applyBorder="1" applyAlignment="1" applyProtection="1">
      <alignment horizontal="left" vertical="center"/>
      <protection locked="0"/>
    </xf>
    <xf numFmtId="0" fontId="4" fillId="4" borderId="11" xfId="0" applyFont="1" applyFill="1" applyBorder="1" applyAlignment="1" applyProtection="1">
      <alignment horizontal="left" vertical="center"/>
      <protection locked="0"/>
    </xf>
    <xf numFmtId="0" fontId="4" fillId="4" borderId="6" xfId="0" applyFont="1" applyFill="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5" borderId="11" xfId="0" applyFont="1" applyFill="1" applyBorder="1" applyAlignment="1" applyProtection="1">
      <alignment horizontal="left" vertical="center"/>
      <protection locked="0"/>
    </xf>
    <xf numFmtId="0" fontId="4" fillId="5" borderId="6" xfId="0" applyFont="1" applyFill="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4" fillId="6" borderId="11" xfId="0" applyFont="1" applyFill="1" applyBorder="1" applyAlignment="1" applyProtection="1">
      <alignment horizontal="left" vertical="center"/>
      <protection locked="0"/>
    </xf>
    <xf numFmtId="0" fontId="4" fillId="6" borderId="6" xfId="0" applyFont="1" applyFill="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7"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3" fillId="2" borderId="0" xfId="0" applyFont="1" applyFill="1" applyAlignment="1" applyProtection="1">
      <alignment horizontal="center"/>
      <protection locked="0"/>
    </xf>
    <xf numFmtId="0" fontId="4" fillId="5" borderId="10" xfId="0" applyFont="1" applyFill="1" applyBorder="1" applyAlignment="1" applyProtection="1">
      <alignment horizontal="left" vertical="center"/>
      <protection locked="0"/>
    </xf>
    <xf numFmtId="0" fontId="4" fillId="5" borderId="16" xfId="0" applyFont="1" applyFill="1" applyBorder="1" applyAlignment="1" applyProtection="1">
      <alignment horizontal="left" vertical="center"/>
      <protection locked="0"/>
    </xf>
  </cellXfs>
  <cellStyles count="1">
    <cellStyle name="Normal" xfId="0" builtinId="0"/>
  </cellStyles>
  <dxfs count="20">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
  <sheetViews>
    <sheetView tabSelected="1" view="pageLayout" topLeftCell="A51" zoomScale="108" zoomScaleNormal="115" zoomScaleSheetLayoutView="115" zoomScalePageLayoutView="108" workbookViewId="0">
      <pane ySplit="20175"/>
      <selection activeCell="B62" sqref="B62:C62"/>
      <selection pane="bottomLeft" activeCell="D2" sqref="D2"/>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39" t="s">
        <v>8</v>
      </c>
      <c r="B1" s="39"/>
      <c r="C1" s="39"/>
      <c r="D1" s="39"/>
    </row>
    <row r="2" spans="1:4" ht="18" x14ac:dyDescent="0.25">
      <c r="A2" s="46" t="s">
        <v>9</v>
      </c>
      <c r="B2" s="46"/>
      <c r="C2" s="47"/>
      <c r="D2" s="4">
        <v>151446</v>
      </c>
    </row>
    <row r="4" spans="1:4" ht="12" customHeight="1" x14ac:dyDescent="0.2">
      <c r="A4" s="40" t="s">
        <v>1</v>
      </c>
      <c r="B4" s="40" t="s">
        <v>2</v>
      </c>
      <c r="C4" s="41"/>
      <c r="D4" s="5" t="s">
        <v>4</v>
      </c>
    </row>
    <row r="5" spans="1:4" ht="13.5" thickBot="1" x14ac:dyDescent="0.25">
      <c r="A5" s="42"/>
      <c r="B5" s="42"/>
      <c r="C5" s="43"/>
      <c r="D5" s="6" t="s">
        <v>3</v>
      </c>
    </row>
    <row r="6" spans="1:4" ht="12.75" customHeight="1" x14ac:dyDescent="0.2">
      <c r="A6" s="38">
        <v>46153</v>
      </c>
      <c r="B6" s="44" t="s">
        <v>10</v>
      </c>
      <c r="C6" s="45"/>
      <c r="D6" s="7">
        <v>3</v>
      </c>
    </row>
    <row r="7" spans="1:4" x14ac:dyDescent="0.2">
      <c r="A7" s="19"/>
      <c r="B7" s="26" t="s">
        <v>11</v>
      </c>
      <c r="C7" s="23"/>
      <c r="D7" s="8">
        <v>2</v>
      </c>
    </row>
    <row r="8" spans="1:4" x14ac:dyDescent="0.2">
      <c r="A8" s="19"/>
      <c r="B8" s="26" t="s">
        <v>12</v>
      </c>
      <c r="C8" s="23"/>
      <c r="D8" s="8">
        <v>2</v>
      </c>
    </row>
    <row r="9" spans="1:4" x14ac:dyDescent="0.2">
      <c r="A9" s="19"/>
      <c r="B9" s="36" t="s">
        <v>13</v>
      </c>
      <c r="C9" s="37"/>
      <c r="D9" s="8">
        <v>1</v>
      </c>
    </row>
    <row r="10" spans="1:4" x14ac:dyDescent="0.2">
      <c r="A10" s="19"/>
      <c r="B10" s="26"/>
      <c r="C10" s="23"/>
      <c r="D10" s="8"/>
    </row>
    <row r="11" spans="1:4" x14ac:dyDescent="0.2">
      <c r="A11" s="19"/>
      <c r="B11" s="2" t="s">
        <v>6</v>
      </c>
      <c r="C11" s="3" t="s">
        <v>5</v>
      </c>
      <c r="D11" s="9">
        <f>SUM(D6:D10)</f>
        <v>8</v>
      </c>
    </row>
    <row r="12" spans="1:4" ht="24.95" customHeight="1" x14ac:dyDescent="0.2">
      <c r="A12" s="19"/>
      <c r="B12" s="27" t="s">
        <v>17</v>
      </c>
      <c r="C12" s="28"/>
      <c r="D12" s="29"/>
    </row>
    <row r="13" spans="1:4" ht="12.75" customHeight="1" x14ac:dyDescent="0.2">
      <c r="A13" s="18">
        <v>46154</v>
      </c>
      <c r="B13" s="20" t="s">
        <v>14</v>
      </c>
      <c r="C13" s="21"/>
      <c r="D13" s="7">
        <v>0.5</v>
      </c>
    </row>
    <row r="14" spans="1:4" x14ac:dyDescent="0.2">
      <c r="A14" s="19"/>
      <c r="B14" s="26" t="s">
        <v>15</v>
      </c>
      <c r="C14" s="23"/>
      <c r="D14" s="8">
        <v>1</v>
      </c>
    </row>
    <row r="15" spans="1:4" x14ac:dyDescent="0.2">
      <c r="A15" s="19"/>
      <c r="B15" s="13" t="s">
        <v>18</v>
      </c>
      <c r="D15" s="1">
        <v>1</v>
      </c>
    </row>
    <row r="16" spans="1:4" x14ac:dyDescent="0.2">
      <c r="A16" s="19"/>
      <c r="B16" s="26" t="s">
        <v>16</v>
      </c>
      <c r="C16" s="23"/>
      <c r="D16" s="8">
        <v>1.5</v>
      </c>
    </row>
    <row r="17" spans="1:4" x14ac:dyDescent="0.2">
      <c r="A17" s="19"/>
      <c r="B17" s="26"/>
      <c r="C17" s="23"/>
      <c r="D17" s="8"/>
    </row>
    <row r="18" spans="1:4" x14ac:dyDescent="0.2">
      <c r="A18" s="19"/>
      <c r="B18" s="2" t="s">
        <v>6</v>
      </c>
      <c r="C18" s="3" t="s">
        <v>5</v>
      </c>
      <c r="D18" s="9">
        <f>SUM(D13:D17)</f>
        <v>4</v>
      </c>
    </row>
    <row r="19" spans="1:4" ht="24.95" customHeight="1" x14ac:dyDescent="0.2">
      <c r="A19" s="19"/>
      <c r="B19" s="27" t="s">
        <v>19</v>
      </c>
      <c r="C19" s="28"/>
      <c r="D19" s="29"/>
    </row>
    <row r="20" spans="1:4" ht="12.75" customHeight="1" x14ac:dyDescent="0.2">
      <c r="A20" s="18">
        <v>46157</v>
      </c>
      <c r="B20" s="20" t="s">
        <v>20</v>
      </c>
      <c r="C20" s="21"/>
      <c r="D20" s="7">
        <v>2</v>
      </c>
    </row>
    <row r="21" spans="1:4" x14ac:dyDescent="0.2">
      <c r="A21" s="19"/>
      <c r="B21" s="22" t="s">
        <v>21</v>
      </c>
      <c r="C21" s="23"/>
      <c r="D21" s="8">
        <v>2.5</v>
      </c>
    </row>
    <row r="22" spans="1:4" x14ac:dyDescent="0.2">
      <c r="A22" s="19"/>
      <c r="B22" s="24" t="s">
        <v>23</v>
      </c>
      <c r="C22" s="25"/>
      <c r="D22" s="8"/>
    </row>
    <row r="23" spans="1:4" x14ac:dyDescent="0.2">
      <c r="A23" s="19"/>
      <c r="B23" s="30" t="s">
        <v>22</v>
      </c>
      <c r="C23" s="31"/>
      <c r="D23" s="8">
        <v>0.5</v>
      </c>
    </row>
    <row r="24" spans="1:4" x14ac:dyDescent="0.2">
      <c r="A24" s="19"/>
      <c r="B24" s="26" t="s">
        <v>24</v>
      </c>
      <c r="C24" s="23"/>
      <c r="D24" s="1">
        <v>1</v>
      </c>
    </row>
    <row r="25" spans="1:4" x14ac:dyDescent="0.2">
      <c r="A25" s="19"/>
      <c r="B25" s="26" t="s">
        <v>25</v>
      </c>
      <c r="C25" s="23"/>
      <c r="D25" s="8">
        <v>2</v>
      </c>
    </row>
    <row r="26" spans="1:4" x14ac:dyDescent="0.2">
      <c r="A26" s="19"/>
      <c r="B26" s="2" t="s">
        <v>6</v>
      </c>
      <c r="C26" s="3" t="s">
        <v>5</v>
      </c>
      <c r="D26" s="9">
        <f>SUM(D20:D25)</f>
        <v>8</v>
      </c>
    </row>
    <row r="27" spans="1:4" ht="24.95" customHeight="1" x14ac:dyDescent="0.2">
      <c r="A27" s="19"/>
      <c r="B27" s="27" t="s">
        <v>26</v>
      </c>
      <c r="C27" s="28"/>
      <c r="D27" s="29"/>
    </row>
    <row r="28" spans="1:4" ht="12.75" customHeight="1" x14ac:dyDescent="0.2">
      <c r="A28" s="18">
        <v>46160</v>
      </c>
      <c r="B28" s="20" t="s">
        <v>27</v>
      </c>
      <c r="C28" s="21"/>
      <c r="D28" s="7">
        <v>1</v>
      </c>
    </row>
    <row r="29" spans="1:4" x14ac:dyDescent="0.2">
      <c r="A29" s="19"/>
      <c r="B29" s="26" t="s">
        <v>28</v>
      </c>
      <c r="C29" s="23"/>
      <c r="D29" s="8">
        <v>1</v>
      </c>
    </row>
    <row r="30" spans="1:4" x14ac:dyDescent="0.2">
      <c r="A30" s="19"/>
      <c r="B30" s="26" t="s">
        <v>29</v>
      </c>
      <c r="C30" s="23"/>
      <c r="D30" s="8">
        <v>1</v>
      </c>
    </row>
    <row r="31" spans="1:4" x14ac:dyDescent="0.2">
      <c r="A31" s="19"/>
      <c r="B31" s="26" t="s">
        <v>30</v>
      </c>
      <c r="C31" s="23"/>
      <c r="D31" s="8">
        <v>1</v>
      </c>
    </row>
    <row r="32" spans="1:4" x14ac:dyDescent="0.2">
      <c r="A32" s="19"/>
      <c r="B32" s="14" t="s">
        <v>31</v>
      </c>
      <c r="C32" s="15"/>
      <c r="D32" s="8">
        <v>2</v>
      </c>
    </row>
    <row r="33" spans="1:4" x14ac:dyDescent="0.2">
      <c r="A33" s="19"/>
      <c r="B33" s="14" t="s">
        <v>32</v>
      </c>
      <c r="C33" s="15"/>
      <c r="D33" s="8">
        <v>1</v>
      </c>
    </row>
    <row r="34" spans="1:4" x14ac:dyDescent="0.2">
      <c r="A34" s="19"/>
      <c r="B34" s="26" t="s">
        <v>33</v>
      </c>
      <c r="C34" s="23"/>
      <c r="D34" s="8">
        <v>1</v>
      </c>
    </row>
    <row r="35" spans="1:4" x14ac:dyDescent="0.2">
      <c r="A35" s="19"/>
      <c r="B35" s="2" t="s">
        <v>6</v>
      </c>
      <c r="C35" s="3" t="s">
        <v>5</v>
      </c>
      <c r="D35" s="9">
        <f>SUM(D28:D34)</f>
        <v>8</v>
      </c>
    </row>
    <row r="36" spans="1:4" ht="24.95" customHeight="1" x14ac:dyDescent="0.2">
      <c r="A36" s="35"/>
      <c r="B36" s="32" t="s">
        <v>34</v>
      </c>
      <c r="C36" s="33"/>
      <c r="D36" s="34"/>
    </row>
    <row r="37" spans="1:4" ht="12.75" customHeight="1" x14ac:dyDescent="0.2">
      <c r="A37" s="18">
        <v>46161</v>
      </c>
      <c r="B37" s="16" t="s">
        <v>35</v>
      </c>
      <c r="C37" s="17"/>
      <c r="D37" s="7">
        <v>0</v>
      </c>
    </row>
    <row r="38" spans="1:4" x14ac:dyDescent="0.2">
      <c r="A38" s="19"/>
      <c r="B38" s="49" t="s">
        <v>36</v>
      </c>
      <c r="C38" s="50"/>
      <c r="D38" s="8">
        <v>2</v>
      </c>
    </row>
    <row r="39" spans="1:4" x14ac:dyDescent="0.2">
      <c r="A39" s="19"/>
      <c r="B39" s="26" t="s">
        <v>37</v>
      </c>
      <c r="C39" s="23"/>
      <c r="D39" s="8">
        <v>1</v>
      </c>
    </row>
    <row r="40" spans="1:4" x14ac:dyDescent="0.2">
      <c r="A40" s="19"/>
      <c r="B40" s="26" t="s">
        <v>38</v>
      </c>
      <c r="C40" s="23"/>
      <c r="D40" s="8">
        <v>1</v>
      </c>
    </row>
    <row r="41" spans="1:4" x14ac:dyDescent="0.2">
      <c r="A41" s="19"/>
      <c r="B41" s="26"/>
      <c r="C41" s="23"/>
      <c r="D41" s="8"/>
    </row>
    <row r="42" spans="1:4" x14ac:dyDescent="0.2">
      <c r="A42" s="19"/>
      <c r="B42" s="2" t="s">
        <v>6</v>
      </c>
      <c r="C42" s="3" t="s">
        <v>5</v>
      </c>
      <c r="D42" s="9">
        <f>SUM(D37:D41)</f>
        <v>4</v>
      </c>
    </row>
    <row r="43" spans="1:4" ht="24.95" customHeight="1" x14ac:dyDescent="0.2">
      <c r="A43" s="35"/>
      <c r="B43" s="32" t="s">
        <v>39</v>
      </c>
      <c r="C43" s="33"/>
      <c r="D43" s="34"/>
    </row>
    <row r="44" spans="1:4" ht="12.75" customHeight="1" x14ac:dyDescent="0.2">
      <c r="A44" s="18">
        <v>46163</v>
      </c>
      <c r="B44" s="20" t="s">
        <v>40</v>
      </c>
      <c r="C44" s="21"/>
      <c r="D44" s="7">
        <v>2</v>
      </c>
    </row>
    <row r="45" spans="1:4" x14ac:dyDescent="0.2">
      <c r="A45" s="19"/>
      <c r="B45" s="26" t="s">
        <v>41</v>
      </c>
      <c r="C45" s="23"/>
      <c r="D45" s="8">
        <v>2</v>
      </c>
    </row>
    <row r="46" spans="1:4" x14ac:dyDescent="0.2">
      <c r="A46" s="19"/>
      <c r="B46" s="26"/>
      <c r="C46" s="23"/>
      <c r="D46" s="8"/>
    </row>
    <row r="47" spans="1:4" x14ac:dyDescent="0.2">
      <c r="A47" s="19"/>
      <c r="B47" s="26"/>
      <c r="C47" s="23"/>
      <c r="D47" s="8"/>
    </row>
    <row r="48" spans="1:4" x14ac:dyDescent="0.2">
      <c r="A48" s="19"/>
      <c r="B48" s="26"/>
      <c r="C48" s="23"/>
      <c r="D48" s="8"/>
    </row>
    <row r="49" spans="1:4" x14ac:dyDescent="0.2">
      <c r="A49" s="19"/>
      <c r="B49" s="2" t="s">
        <v>6</v>
      </c>
      <c r="C49" s="3" t="s">
        <v>5</v>
      </c>
      <c r="D49" s="9">
        <f>SUM(D44:D48)</f>
        <v>4</v>
      </c>
    </row>
    <row r="50" spans="1:4" ht="24.95" customHeight="1" x14ac:dyDescent="0.2">
      <c r="A50" s="35"/>
      <c r="B50" s="32" t="s">
        <v>42</v>
      </c>
      <c r="C50" s="33"/>
      <c r="D50" s="34"/>
    </row>
    <row r="51" spans="1:4" ht="12.75" customHeight="1" x14ac:dyDescent="0.2">
      <c r="A51" s="18">
        <v>46164</v>
      </c>
      <c r="B51" s="20" t="s">
        <v>43</v>
      </c>
      <c r="C51" s="21"/>
      <c r="D51" s="7">
        <v>1</v>
      </c>
    </row>
    <row r="52" spans="1:4" x14ac:dyDescent="0.2">
      <c r="A52" s="19"/>
      <c r="B52" s="26" t="s">
        <v>44</v>
      </c>
      <c r="C52" s="23"/>
      <c r="D52" s="8">
        <v>1</v>
      </c>
    </row>
    <row r="53" spans="1:4" x14ac:dyDescent="0.2">
      <c r="A53" s="19"/>
      <c r="B53" s="26" t="s">
        <v>45</v>
      </c>
      <c r="C53" s="23"/>
      <c r="D53" s="8">
        <v>1</v>
      </c>
    </row>
    <row r="54" spans="1:4" x14ac:dyDescent="0.2">
      <c r="A54" s="19"/>
      <c r="B54" s="26" t="s">
        <v>44</v>
      </c>
      <c r="C54" s="23"/>
      <c r="D54" s="8">
        <v>2</v>
      </c>
    </row>
    <row r="55" spans="1:4" x14ac:dyDescent="0.2">
      <c r="A55" s="19"/>
      <c r="B55" s="26" t="s">
        <v>47</v>
      </c>
      <c r="C55" s="23"/>
      <c r="D55" s="8">
        <v>1</v>
      </c>
    </row>
    <row r="56" spans="1:4" x14ac:dyDescent="0.2">
      <c r="A56" s="19"/>
      <c r="B56" s="14" t="s">
        <v>38</v>
      </c>
      <c r="C56" s="15"/>
      <c r="D56" s="8">
        <v>1</v>
      </c>
    </row>
    <row r="57" spans="1:4" x14ac:dyDescent="0.2">
      <c r="A57" s="19"/>
      <c r="B57" s="14" t="s">
        <v>46</v>
      </c>
      <c r="C57" s="15"/>
      <c r="D57" s="8">
        <v>1</v>
      </c>
    </row>
    <row r="58" spans="1:4" x14ac:dyDescent="0.2">
      <c r="A58" s="19"/>
      <c r="B58" s="2" t="s">
        <v>6</v>
      </c>
      <c r="C58" s="3" t="s">
        <v>5</v>
      </c>
      <c r="D58" s="9">
        <f>SUM(D51:D57)</f>
        <v>8</v>
      </c>
    </row>
    <row r="59" spans="1:4" ht="46.5" customHeight="1" x14ac:dyDescent="0.2">
      <c r="A59" s="35"/>
      <c r="B59" s="32" t="s">
        <v>48</v>
      </c>
      <c r="C59" s="33"/>
      <c r="D59" s="34"/>
    </row>
    <row r="60" spans="1:4" ht="12.75" customHeight="1" x14ac:dyDescent="0.2">
      <c r="A60" s="18">
        <v>46171</v>
      </c>
      <c r="B60" s="20" t="s">
        <v>49</v>
      </c>
      <c r="C60" s="21"/>
      <c r="D60" s="7">
        <v>2</v>
      </c>
    </row>
    <row r="61" spans="1:4" x14ac:dyDescent="0.2">
      <c r="A61" s="19"/>
      <c r="B61" s="26" t="s">
        <v>50</v>
      </c>
      <c r="C61" s="23"/>
      <c r="D61" s="8">
        <v>2</v>
      </c>
    </row>
    <row r="62" spans="1:4" x14ac:dyDescent="0.2">
      <c r="A62" s="19"/>
      <c r="B62" s="26"/>
      <c r="C62" s="23"/>
      <c r="D62" s="8"/>
    </row>
    <row r="63" spans="1:4" x14ac:dyDescent="0.2">
      <c r="A63" s="19"/>
      <c r="B63" s="26"/>
      <c r="C63" s="23"/>
      <c r="D63" s="8"/>
    </row>
    <row r="64" spans="1:4" x14ac:dyDescent="0.2">
      <c r="A64" s="19"/>
      <c r="B64" s="26"/>
      <c r="C64" s="23"/>
      <c r="D64" s="8"/>
    </row>
    <row r="65" spans="1:4" x14ac:dyDescent="0.2">
      <c r="A65" s="19"/>
      <c r="B65" s="2" t="s">
        <v>6</v>
      </c>
      <c r="C65" s="3" t="s">
        <v>5</v>
      </c>
      <c r="D65" s="9">
        <f>SUM(D60:D64)</f>
        <v>4</v>
      </c>
    </row>
    <row r="66" spans="1:4" ht="24.95" customHeight="1" x14ac:dyDescent="0.2">
      <c r="A66" s="35"/>
      <c r="B66" s="32"/>
      <c r="C66" s="33"/>
      <c r="D66" s="34"/>
    </row>
    <row r="67" spans="1:4" ht="12.75" customHeight="1" x14ac:dyDescent="0.2">
      <c r="A67" s="18"/>
      <c r="B67" s="20"/>
      <c r="C67" s="21"/>
      <c r="D67" s="7"/>
    </row>
    <row r="68" spans="1:4" x14ac:dyDescent="0.2">
      <c r="A68" s="19"/>
      <c r="B68" s="26"/>
      <c r="C68" s="23"/>
      <c r="D68" s="8"/>
    </row>
    <row r="69" spans="1:4" x14ac:dyDescent="0.2">
      <c r="A69" s="19"/>
      <c r="B69" s="26"/>
      <c r="C69" s="23"/>
      <c r="D69" s="8"/>
    </row>
    <row r="70" spans="1:4" x14ac:dyDescent="0.2">
      <c r="A70" s="19"/>
      <c r="B70" s="26"/>
      <c r="C70" s="23"/>
      <c r="D70" s="8"/>
    </row>
    <row r="71" spans="1:4" x14ac:dyDescent="0.2">
      <c r="A71" s="19"/>
      <c r="B71" s="26"/>
      <c r="C71" s="23"/>
      <c r="D71" s="8"/>
    </row>
    <row r="72" spans="1:4" x14ac:dyDescent="0.2">
      <c r="A72" s="19"/>
      <c r="B72" s="2" t="s">
        <v>6</v>
      </c>
      <c r="C72" s="3" t="s">
        <v>5</v>
      </c>
      <c r="D72" s="9">
        <f>SUM(D67:D71)</f>
        <v>0</v>
      </c>
    </row>
    <row r="73" spans="1:4" ht="24.95" customHeight="1" x14ac:dyDescent="0.2">
      <c r="A73" s="19"/>
      <c r="B73" s="27"/>
      <c r="C73" s="28"/>
      <c r="D73" s="29"/>
    </row>
    <row r="74" spans="1:4" ht="12.75" customHeight="1" x14ac:dyDescent="0.2">
      <c r="A74" s="18"/>
      <c r="B74" s="20"/>
      <c r="C74" s="21"/>
      <c r="D74" s="7"/>
    </row>
    <row r="75" spans="1:4" x14ac:dyDescent="0.2">
      <c r="A75" s="19"/>
      <c r="B75" s="26"/>
      <c r="C75" s="23"/>
      <c r="D75" s="8"/>
    </row>
    <row r="76" spans="1:4" x14ac:dyDescent="0.2">
      <c r="A76" s="19"/>
      <c r="B76" s="26"/>
      <c r="C76" s="23"/>
      <c r="D76" s="8"/>
    </row>
    <row r="77" spans="1:4" x14ac:dyDescent="0.2">
      <c r="A77" s="19"/>
      <c r="B77" s="26"/>
      <c r="C77" s="23"/>
      <c r="D77" s="8"/>
    </row>
    <row r="78" spans="1:4" x14ac:dyDescent="0.2">
      <c r="A78" s="19"/>
      <c r="B78" s="26"/>
      <c r="C78" s="23"/>
      <c r="D78" s="8"/>
    </row>
    <row r="79" spans="1:4" x14ac:dyDescent="0.2">
      <c r="A79" s="19"/>
      <c r="B79" s="2" t="s">
        <v>6</v>
      </c>
      <c r="C79" s="3" t="s">
        <v>5</v>
      </c>
      <c r="D79" s="9">
        <f>SUM(D74:D78)</f>
        <v>0</v>
      </c>
    </row>
    <row r="80" spans="1:4" ht="24.95" customHeight="1" x14ac:dyDescent="0.2">
      <c r="A80" s="35"/>
      <c r="B80" s="32"/>
      <c r="C80" s="33"/>
      <c r="D80" s="34"/>
    </row>
    <row r="81" spans="1:4" ht="12.75" customHeight="1" x14ac:dyDescent="0.2">
      <c r="A81" s="18"/>
      <c r="B81" s="20"/>
      <c r="C81" s="21"/>
      <c r="D81" s="7"/>
    </row>
    <row r="82" spans="1:4" x14ac:dyDescent="0.2">
      <c r="A82" s="19"/>
      <c r="B82" s="26"/>
      <c r="C82" s="23"/>
      <c r="D82" s="8"/>
    </row>
    <row r="83" spans="1:4" x14ac:dyDescent="0.2">
      <c r="A83" s="19"/>
      <c r="B83" s="26"/>
      <c r="C83" s="23"/>
      <c r="D83" s="8"/>
    </row>
    <row r="84" spans="1:4" x14ac:dyDescent="0.2">
      <c r="A84" s="19"/>
      <c r="B84" s="26"/>
      <c r="C84" s="23"/>
      <c r="D84" s="8"/>
    </row>
    <row r="85" spans="1:4" x14ac:dyDescent="0.2">
      <c r="A85" s="19"/>
      <c r="B85" s="26"/>
      <c r="C85" s="23"/>
      <c r="D85" s="8"/>
    </row>
    <row r="86" spans="1:4" x14ac:dyDescent="0.2">
      <c r="A86" s="19"/>
      <c r="B86" s="2" t="s">
        <v>6</v>
      </c>
      <c r="C86" s="3" t="s">
        <v>5</v>
      </c>
      <c r="D86" s="9">
        <f>SUM(D81:D85)</f>
        <v>0</v>
      </c>
    </row>
    <row r="87" spans="1:4" ht="24.95" customHeight="1" x14ac:dyDescent="0.2">
      <c r="A87" s="35"/>
      <c r="B87" s="32"/>
      <c r="C87" s="33"/>
      <c r="D87" s="34"/>
    </row>
    <row r="88" spans="1:4" ht="12" customHeight="1" x14ac:dyDescent="0.2">
      <c r="A88" s="11"/>
      <c r="B88" s="10"/>
      <c r="C88" s="3" t="s">
        <v>7</v>
      </c>
      <c r="D88" s="12">
        <f>D11+D18+D26+D35+D42+D49+D58+D65+D72+D79+D86</f>
        <v>48</v>
      </c>
    </row>
    <row r="89" spans="1:4" x14ac:dyDescent="0.2">
      <c r="A89" s="48" t="s">
        <v>0</v>
      </c>
      <c r="B89" s="48"/>
      <c r="C89" s="48"/>
      <c r="D89" s="48"/>
    </row>
  </sheetData>
  <mergeCells count="81">
    <mergeCell ref="A89:D89"/>
    <mergeCell ref="A13:A19"/>
    <mergeCell ref="B13:C13"/>
    <mergeCell ref="B14:C14"/>
    <mergeCell ref="B16:C16"/>
    <mergeCell ref="B17:C17"/>
    <mergeCell ref="B19:D19"/>
    <mergeCell ref="A28:A36"/>
    <mergeCell ref="B28:C28"/>
    <mergeCell ref="B29:C29"/>
    <mergeCell ref="B30:C30"/>
    <mergeCell ref="B31:C31"/>
    <mergeCell ref="B34:C34"/>
    <mergeCell ref="B36:D36"/>
    <mergeCell ref="A37:A43"/>
    <mergeCell ref="B38:C38"/>
    <mergeCell ref="A6:A12"/>
    <mergeCell ref="B12:D12"/>
    <mergeCell ref="B8:C8"/>
    <mergeCell ref="A1:D1"/>
    <mergeCell ref="B4:C5"/>
    <mergeCell ref="B6:C6"/>
    <mergeCell ref="A2:C2"/>
    <mergeCell ref="A4:A5"/>
    <mergeCell ref="B39:C39"/>
    <mergeCell ref="B40:C40"/>
    <mergeCell ref="B41:C41"/>
    <mergeCell ref="B43:D43"/>
    <mergeCell ref="B7:C7"/>
    <mergeCell ref="B9:C9"/>
    <mergeCell ref="B10:C10"/>
    <mergeCell ref="A67:A73"/>
    <mergeCell ref="B67:C67"/>
    <mergeCell ref="B68:C68"/>
    <mergeCell ref="B69:C69"/>
    <mergeCell ref="B70:C70"/>
    <mergeCell ref="B71:C71"/>
    <mergeCell ref="B73:D73"/>
    <mergeCell ref="A44:A50"/>
    <mergeCell ref="B44:C44"/>
    <mergeCell ref="B45:C45"/>
    <mergeCell ref="B46:C46"/>
    <mergeCell ref="B47:C47"/>
    <mergeCell ref="B48:C48"/>
    <mergeCell ref="B50:D50"/>
    <mergeCell ref="A51:A59"/>
    <mergeCell ref="A74:A80"/>
    <mergeCell ref="B74:C74"/>
    <mergeCell ref="B75:C75"/>
    <mergeCell ref="B76:C76"/>
    <mergeCell ref="B77:C77"/>
    <mergeCell ref="B78:C78"/>
    <mergeCell ref="B80:D80"/>
    <mergeCell ref="B51:C51"/>
    <mergeCell ref="B52:C52"/>
    <mergeCell ref="B53:C53"/>
    <mergeCell ref="B54:C54"/>
    <mergeCell ref="B55:C55"/>
    <mergeCell ref="B59:D59"/>
    <mergeCell ref="A60:A66"/>
    <mergeCell ref="B60:C60"/>
    <mergeCell ref="A81:A87"/>
    <mergeCell ref="B81:C81"/>
    <mergeCell ref="B82:C82"/>
    <mergeCell ref="B83:C83"/>
    <mergeCell ref="B84:C84"/>
    <mergeCell ref="B85:C85"/>
    <mergeCell ref="B87:D87"/>
    <mergeCell ref="B61:C61"/>
    <mergeCell ref="B62:C62"/>
    <mergeCell ref="B63:C63"/>
    <mergeCell ref="B64:C64"/>
    <mergeCell ref="B66:D66"/>
    <mergeCell ref="A20:A27"/>
    <mergeCell ref="B20:C20"/>
    <mergeCell ref="B21:C21"/>
    <mergeCell ref="B22:C22"/>
    <mergeCell ref="B24:C24"/>
    <mergeCell ref="B25:C25"/>
    <mergeCell ref="B27:D27"/>
    <mergeCell ref="B23:C23"/>
  </mergeCells>
  <conditionalFormatting sqref="D6:D11 D13:D14 D16:D18 D20:D23 D25:D26">
    <cfRule type="containsText" dxfId="19" priority="23" operator="containsText" text="Terminé">
      <formula>NOT(ISERROR(SEARCH("Terminé",D6)))</formula>
    </cfRule>
    <cfRule type="containsText" dxfId="18" priority="24" operator="containsText" text="En cours">
      <formula>NOT(ISERROR(SEARCH("En cours",D6)))</formula>
    </cfRule>
  </conditionalFormatting>
  <conditionalFormatting sqref="D28:D35">
    <cfRule type="containsText" dxfId="17" priority="19" operator="containsText" text="Terminé">
      <formula>NOT(ISERROR(SEARCH("Terminé",D28)))</formula>
    </cfRule>
    <cfRule type="containsText" dxfId="16" priority="20" operator="containsText" text="En cours">
      <formula>NOT(ISERROR(SEARCH("En cours",D28)))</formula>
    </cfRule>
  </conditionalFormatting>
  <conditionalFormatting sqref="D37:D42">
    <cfRule type="containsText" dxfId="15" priority="17" operator="containsText" text="Terminé">
      <formula>NOT(ISERROR(SEARCH("Terminé",D37)))</formula>
    </cfRule>
    <cfRule type="containsText" dxfId="14" priority="18" operator="containsText" text="En cours">
      <formula>NOT(ISERROR(SEARCH("En cours",D37)))</formula>
    </cfRule>
  </conditionalFormatting>
  <conditionalFormatting sqref="D44:D49">
    <cfRule type="containsText" dxfId="13" priority="9" operator="containsText" text="Terminé">
      <formula>NOT(ISERROR(SEARCH("Terminé",D44)))</formula>
    </cfRule>
    <cfRule type="containsText" dxfId="12" priority="10" operator="containsText" text="En cours">
      <formula>NOT(ISERROR(SEARCH("En cours",D44)))</formula>
    </cfRule>
  </conditionalFormatting>
  <conditionalFormatting sqref="D51:D58">
    <cfRule type="containsText" dxfId="11" priority="7" operator="containsText" text="Terminé">
      <formula>NOT(ISERROR(SEARCH("Terminé",D51)))</formula>
    </cfRule>
    <cfRule type="containsText" dxfId="10" priority="8" operator="containsText" text="En cours">
      <formula>NOT(ISERROR(SEARCH("En cours",D51)))</formula>
    </cfRule>
  </conditionalFormatting>
  <conditionalFormatting sqref="D60:D65">
    <cfRule type="containsText" dxfId="9" priority="5" operator="containsText" text="Terminé">
      <formula>NOT(ISERROR(SEARCH("Terminé",D60)))</formula>
    </cfRule>
    <cfRule type="containsText" dxfId="8" priority="6" operator="containsText" text="En cours">
      <formula>NOT(ISERROR(SEARCH("En cours",D60)))</formula>
    </cfRule>
  </conditionalFormatting>
  <conditionalFormatting sqref="D67:D72">
    <cfRule type="containsText" dxfId="7" priority="15" operator="containsText" text="Terminé">
      <formula>NOT(ISERROR(SEARCH("Terminé",D67)))</formula>
    </cfRule>
    <cfRule type="containsText" dxfId="6" priority="16" operator="containsText" text="En cours">
      <formula>NOT(ISERROR(SEARCH("En cours",D67)))</formula>
    </cfRule>
  </conditionalFormatting>
  <conditionalFormatting sqref="D74:D79">
    <cfRule type="containsText" dxfId="5" priority="13" operator="containsText" text="Terminé">
      <formula>NOT(ISERROR(SEARCH("Terminé",D74)))</formula>
    </cfRule>
    <cfRule type="containsText" dxfId="4" priority="14" operator="containsText" text="En cours">
      <formula>NOT(ISERROR(SEARCH("En cours",D74)))</formula>
    </cfRule>
  </conditionalFormatting>
  <conditionalFormatting sqref="D81:D86">
    <cfRule type="containsText" dxfId="3" priority="11" operator="containsText" text="Terminé">
      <formula>NOT(ISERROR(SEARCH("Terminé",D81)))</formula>
    </cfRule>
    <cfRule type="containsText" dxfId="2" priority="12" operator="containsText" text="En cours">
      <formula>NOT(ISERROR(SEARCH("En cours",D81)))</formula>
    </cfRule>
  </conditionalFormatting>
  <conditionalFormatting sqref="D88">
    <cfRule type="containsText" dxfId="1" priority="1" operator="containsText" text="Terminé">
      <formula>NOT(ISERROR(SEARCH("Terminé",D88)))</formula>
    </cfRule>
    <cfRule type="containsText" dxfId="0" priority="2" operator="containsText" text="En cours">
      <formula>NOT(ISERROR(SEARCH("En cours",D88)))</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2026 (TPI)&amp;R&amp;"Arial,Gras"&amp;14&amp;G</oddHeader>
    <oddFooter>&amp;L&amp;8&amp;F&amp;R&amp;8Page &amp;P/&amp;N</oddFooter>
  </headerFooter>
  <rowBreaks count="2" manualBreakCount="2">
    <brk id="50" max="16383" man="1"/>
    <brk id="88" max="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vt:lpstr>
      <vt:lpstr>Journal!Impression_des_titres</vt:lpstr>
      <vt:lpstr>Journal!Zone_d_impression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Gamez Thibaud</cp:lastModifiedBy>
  <cp:lastPrinted>2024-10-20T08:57:22Z</cp:lastPrinted>
  <dcterms:created xsi:type="dcterms:W3CDTF">2002-03-11T12:50:08Z</dcterms:created>
  <dcterms:modified xsi:type="dcterms:W3CDTF">2026-05-29T13:42:19Z</dcterms:modified>
</cp:coreProperties>
</file>