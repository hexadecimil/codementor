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Informatique\tpi2026-codementor\doc\"/>
    </mc:Choice>
  </mc:AlternateContent>
  <xr:revisionPtr revIDLastSave="0" documentId="13_ncr:1_{84CED5C3-B9F5-470E-A3BA-D040CB0A5D62}" xr6:coauthVersionLast="47" xr6:coauthVersionMax="47" xr10:uidLastSave="{00000000-0000-0000-0000-000000000000}"/>
  <bookViews>
    <workbookView xWindow="-120" yWindow="-120" windowWidth="29040" windowHeight="15720" xr2:uid="{00000000-000D-0000-FFFF-FFFF00000000}"/>
  </bookViews>
  <sheets>
    <sheet name="Journal" sheetId="1" r:id="rId1"/>
  </sheets>
  <definedNames>
    <definedName name="_xlnm.Print_Area" localSheetId="0">Journal!$A$1:$D$96</definedName>
    <definedName name="_xlnm.Print_Titles" localSheetId="0">Journal!$1:$5,Journal!$B:$D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9" i="1" l="1"/>
  <c r="D94" i="1"/>
  <c r="D87" i="1"/>
  <c r="D80" i="1"/>
  <c r="D68" i="1"/>
  <c r="D58" i="1"/>
  <c r="D49" i="1"/>
  <c r="D42" i="1"/>
  <c r="D35" i="1"/>
  <c r="D26" i="1"/>
  <c r="D18" i="1"/>
  <c r="D11" i="1"/>
  <c r="D101" i="1" s="1"/>
</calcChain>
</file>

<file path=xl/sharedStrings.xml><?xml version="1.0" encoding="utf-8"?>
<sst xmlns="http://schemas.openxmlformats.org/spreadsheetml/2006/main" count="105" uniqueCount="80">
  <si>
    <t>Projet : CodeMentor</t>
  </si>
  <si>
    <t>Gamez Thibaud</t>
  </si>
  <si>
    <t>Date</t>
  </si>
  <si>
    <t>Travail effectué</t>
  </si>
  <si>
    <t>Temps</t>
  </si>
  <si>
    <t>[H.h]</t>
  </si>
  <si>
    <t>Lecture cahier des charges et préparation</t>
  </si>
  <si>
    <t>Planning</t>
  </si>
  <si>
    <t>Documentation des technos et cahier des charges</t>
  </si>
  <si>
    <t>Préparation de la réunion et réunion</t>
  </si>
  <si>
    <t>Réflexion personnelle ↓↓↓</t>
  </si>
  <si>
    <t>Total &gt;</t>
  </si>
  <si>
    <t>Début du TPI, j'ai pris plus de temps que prévu pour le planning et la documentation</t>
  </si>
  <si>
    <t>Rédaction du PV et envoi</t>
  </si>
  <si>
    <t>Création du diagramme des cas d'utilisation</t>
  </si>
  <si>
    <t>Diagramme ER de base de données</t>
  </si>
  <si>
    <t>Travail sur le diagramme de séquence système</t>
  </si>
  <si>
    <t>Second jour, j'ai pu rattraper un peu le retard en avançant plus vite que prévu sur le diagramme ER et le diagramme des cas d'utilisation</t>
  </si>
  <si>
    <t>Finalisation des diagrammes de séquence système (DSS2 et DSS3)</t>
  </si>
  <si>
    <t xml:space="preserve">Création des 3 diagrammes d'activité (Ajouter, Consulter résultats, Supprimer un projet) </t>
  </si>
  <si>
    <t>Découverte d'un bug dans le diagramme des cas d'utilisation</t>
  </si>
  <si>
    <t>Réparation du diagramme des cas d'utilisation</t>
  </si>
  <si>
    <t>Maquette Stitch</t>
  </si>
  <si>
    <t>Création du diagramme de base de données</t>
  </si>
  <si>
    <t>J'ai bien avancé. J'ai découvert que mon diagramme des cas d'utilisation était cassé et j'ai dû le refaire, sinon la conception commence bien.</t>
  </si>
  <si>
    <t>Diagramme de classes frontend</t>
  </si>
  <si>
    <t>Diagramme de classes backend</t>
  </si>
  <si>
    <t>Conception des endpoints API REST</t>
  </si>
  <si>
    <t>Conception des tests</t>
  </si>
  <si>
    <t>Structure MVC de base</t>
  </si>
  <si>
    <t>Création de la base de données</t>
  </si>
  <si>
    <t>Documentation de la conception</t>
  </si>
  <si>
    <t>Cette journée s'est bien passée, j'ai pu commencer l'implémentation du backend en créant la structure de base et la base de données. Je suis confiant.</t>
  </si>
  <si>
    <t>La table "suggested_fix" complique les choses et n'est pas très utile</t>
  </si>
  <si>
    <t>Suppression et changement des schémas et de la structure du code</t>
  </si>
  <si>
    <t>Ajout des tâches de la to-do list</t>
  </si>
  <si>
    <t>Documentation</t>
  </si>
  <si>
    <t>J'ai pris du retard sur l'implémentation, mais je ne pense pas que ça posera problème.</t>
  </si>
  <si>
    <t>Finalisation de la documentation d'analyse</t>
  </si>
  <si>
    <t>Finalisation de la documentation de conception</t>
  </si>
  <si>
    <t>J'ai fait uniquement de la documentation, je suis donc toujours en retard, mais je vais pouvoir le rattraper demain.</t>
  </si>
  <si>
    <t>Réflexion sur les modèles et décision de ne pas en faire</t>
  </si>
  <si>
    <t>Implémentation de l'authentification GitHub</t>
  </si>
  <si>
    <t>Rendez-vous avec Meylan</t>
  </si>
  <si>
    <t>Service et endpoints des projets</t>
  </si>
  <si>
    <t>Implémentation du service GitHub</t>
  </si>
  <si>
    <t>Je me suis rendu compte après l'implémentation des modèles qu'ils étaient en fait inutiles, j'ai donc décidé de les retirer du code. L'implémentation de l'authentification via GitHub fonctionne parfaitement, les endpoints de projets sont faits et la récupération des fichiers et projets GitHub aussi. Je rattrape mon léger retard.</t>
  </si>
  <si>
    <t>Mise en place de la queue en mémoire</t>
  </si>
  <si>
    <t>Mise en place de l'analyse via le LLM</t>
  </si>
  <si>
    <t>Prompt système du LLM</t>
  </si>
  <si>
    <t>Endpoint de suivi de l'état des tâches</t>
  </si>
  <si>
    <t>Sécurisation des accès (projets / analyses)</t>
  </si>
  <si>
    <t>Documentation Swagger</t>
  </si>
  <si>
    <t>Rendez-vous avec les experts</t>
  </si>
  <si>
    <t>La journée s'est bien passée, les différents endpoints fonctionnent et je suis confiant pour la suite.</t>
  </si>
  <si>
    <t>Amélioration backend</t>
  </si>
  <si>
    <t>Mise en place du projet Vue.js + structure de base</t>
  </si>
  <si>
    <t>Configuration du routing</t>
  </si>
  <si>
    <t>Service API + interception du token</t>
  </si>
  <si>
    <t>Page de connexion</t>
  </si>
  <si>
    <t>Page de liste et création des projets</t>
  </si>
  <si>
    <t>Page de détail de projet (Detected Errors, Suggested Fixes)</t>
  </si>
  <si>
    <t>Intégration du polling de la progression</t>
  </si>
  <si>
    <t>Traitement des analyses très lent</t>
  </si>
  <si>
    <t>Traitement par lots parallèles avec "Promise.all"</t>
  </si>
  <si>
    <t>La journée a bien avancé, le frontend est fonctionnel de bout en bout et communique correctement avec le backend. Il me reste surtout à peaufiner le design et à documenter le tout. Je ne pensais pas que les requêtes LLM seraient si lentes, j'ai dû ajouter un traitement parallèle pour analyser plusieurs fichiers en même temps.</t>
  </si>
  <si>
    <t>Responsive design et corrections de design</t>
  </si>
  <si>
    <t>Tests de différents modèles et analyse de leurs retours</t>
  </si>
  <si>
    <t>Correction des erreurs dans les schémas EA</t>
  </si>
  <si>
    <t>J'ai terminé la partie frontend, j'ai aussi bien avancé la documentation et j'ai pu faire des tests sur différents LLM afin de constater les différences et d'adapter le prompt système. Le retard est rattrapé, je n'ai plus de doutes sur la faisabilité du projet.</t>
  </si>
  <si>
    <t>Travail sur la documentation</t>
  </si>
  <si>
    <t>Tests du backend</t>
  </si>
  <si>
    <t>Tests du frontend</t>
  </si>
  <si>
    <t>Tests de sécurité</t>
  </si>
  <si>
    <t>La documentation a bien avancé, il manque encore quelques points à perfectionner, sinon tout est OK.</t>
  </si>
  <si>
    <t>Finalisation du rapport et préparation du rendu</t>
  </si>
  <si>
    <t>Remise du projet (code, documentation, journal de travail)</t>
  </si>
  <si>
    <t>Dernier jour du TPI. J'ai finalisé le rapport de projet, vérifié tous les livrables et effectué la remise du projet. Tout s'est bien déroulé.</t>
  </si>
  <si>
    <t>Total général &gt;</t>
  </si>
  <si>
    <t>Insérer les lignes au-dessus de celle-ci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</si>
</sst>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
  </numFmts>
  <fonts count="9" x14ac:knownFonts="1">
    <font>
      <sz val="10"/>
      <name val="Arial"/>
    </font>
    <font>
      <b/>
      <sz val="10"/>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b/>
      <sz val="8"/>
      <name val="Arial"/>
      <family val="2"/>
    </font>
    <font>
      <sz val="10"/>
      <name val="Arial"/>
      <family val="2"/>
    </font>
  </fonts>
  <fills count="7">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8"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
    <xf numFmtId="0" fontId="0" fillId="0" borderId="0"/>
  </cellStyleXfs>
  <cellXfs count="64">
    <xf numFmtId="0" fontId="0" fillId="0" borderId="0" xfId="0"/>
    <xf numFmtId="0" fontId="0" fillId="0" borderId="0" xfId="0" applyProtection="1">
      <protection locked="0"/>
    </xf>
    <xf numFmtId="0" fontId="3" fillId="3" borderId="9" xfId="0" applyFont="1" applyFill="1" applyBorder="1" applyAlignment="1" applyProtection="1">
      <alignment horizontal="left" vertical="center"/>
      <protection locked="0"/>
    </xf>
    <xf numFmtId="0" fontId="3" fillId="3" borderId="14" xfId="0" applyFont="1" applyFill="1" applyBorder="1" applyAlignment="1" applyProtection="1">
      <alignment horizontal="right" vertical="center"/>
      <protection locked="0"/>
    </xf>
    <xf numFmtId="0" fontId="4"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6" fillId="0" borderId="4" xfId="0" applyFont="1" applyBorder="1" applyAlignment="1" applyProtection="1">
      <alignment horizontal="center"/>
      <protection locked="0"/>
    </xf>
    <xf numFmtId="164" fontId="3" fillId="0" borderId="7" xfId="0" applyNumberFormat="1" applyFont="1" applyBorder="1" applyAlignment="1" applyProtection="1">
      <alignment horizontal="center" vertical="center"/>
      <protection locked="0"/>
    </xf>
    <xf numFmtId="164" fontId="3" fillId="0" borderId="5" xfId="0" applyNumberFormat="1" applyFont="1" applyBorder="1" applyAlignment="1" applyProtection="1">
      <alignment horizontal="center" vertical="center"/>
      <protection locked="0"/>
    </xf>
    <xf numFmtId="164" fontId="3" fillId="0" borderId="1" xfId="0" applyNumberFormat="1" applyFont="1" applyBorder="1" applyAlignment="1" applyProtection="1">
      <alignment horizontal="center" vertical="center"/>
      <protection locked="0"/>
    </xf>
    <xf numFmtId="0" fontId="3" fillId="0" borderId="0" xfId="0" applyFont="1" applyAlignment="1" applyProtection="1">
      <alignment horizontal="left" vertical="top" wrapText="1"/>
      <protection locked="0"/>
    </xf>
    <xf numFmtId="165" fontId="0" fillId="0" borderId="0" xfId="0" applyNumberFormat="1" applyAlignment="1" applyProtection="1">
      <alignment horizontal="center" vertical="center"/>
      <protection locked="0"/>
    </xf>
    <xf numFmtId="164" fontId="7" fillId="0" borderId="1" xfId="0" applyNumberFormat="1" applyFont="1" applyBorder="1" applyAlignment="1" applyProtection="1">
      <alignment horizontal="center" vertical="center"/>
      <protection locked="0"/>
    </xf>
    <xf numFmtId="0" fontId="8" fillId="0" borderId="0" xfId="0" applyFont="1" applyProtection="1">
      <protection locked="0"/>
    </xf>
    <xf numFmtId="0" fontId="3" fillId="0" borderId="10" xfId="0" applyFont="1" applyBorder="1" applyAlignment="1" applyProtection="1">
      <alignment horizontal="left" vertical="center"/>
      <protection locked="0"/>
    </xf>
    <xf numFmtId="0" fontId="3" fillId="0" borderId="6" xfId="0" applyFont="1" applyBorder="1" applyAlignment="1" applyProtection="1">
      <alignment horizontal="left" vertical="center"/>
      <protection locked="0"/>
    </xf>
    <xf numFmtId="0" fontId="8" fillId="4" borderId="0" xfId="0" applyFont="1" applyFill="1" applyProtection="1">
      <protection locked="0"/>
    </xf>
    <xf numFmtId="0" fontId="0" fillId="4" borderId="0" xfId="0" applyFill="1" applyProtection="1">
      <protection locked="0"/>
    </xf>
    <xf numFmtId="0" fontId="3" fillId="0" borderId="0" xfId="0" applyFont="1"/>
    <xf numFmtId="0" fontId="3" fillId="4" borderId="10" xfId="0" applyFont="1" applyFill="1" applyBorder="1" applyAlignment="1" applyProtection="1">
      <alignment horizontal="left" vertical="center"/>
      <protection locked="0"/>
    </xf>
    <xf numFmtId="0" fontId="3" fillId="4" borderId="6" xfId="0" applyFont="1" applyFill="1" applyBorder="1" applyAlignment="1" applyProtection="1">
      <alignment horizontal="left" vertical="center"/>
      <protection locked="0"/>
    </xf>
    <xf numFmtId="164" fontId="3" fillId="0" borderId="7" xfId="0" applyNumberFormat="1" applyFont="1" applyBorder="1" applyAlignment="1">
      <alignment horizontal="center" vertical="center"/>
    </xf>
    <xf numFmtId="164" fontId="3" fillId="0" borderId="5" xfId="0" applyNumberFormat="1" applyFont="1" applyBorder="1" applyAlignment="1">
      <alignment horizontal="center" vertical="center"/>
    </xf>
    <xf numFmtId="0" fontId="3" fillId="3" borderId="9" xfId="0" applyFont="1" applyFill="1" applyBorder="1" applyAlignment="1">
      <alignment horizontal="left" vertical="center"/>
    </xf>
    <xf numFmtId="0" fontId="3" fillId="3" borderId="14" xfId="0" applyFont="1" applyFill="1" applyBorder="1" applyAlignment="1">
      <alignment horizontal="right" vertical="center"/>
    </xf>
    <xf numFmtId="164" fontId="3" fillId="0" borderId="1" xfId="0" applyNumberFormat="1" applyFont="1" applyBorder="1" applyAlignment="1">
      <alignment horizontal="center" vertical="center"/>
    </xf>
    <xf numFmtId="0" fontId="3" fillId="0" borderId="5" xfId="0" applyFont="1" applyBorder="1" applyAlignment="1" applyProtection="1">
      <alignment horizontal="left" vertical="center"/>
      <protection locked="0"/>
    </xf>
    <xf numFmtId="0" fontId="0" fillId="0" borderId="6" xfId="0" applyBorder="1" applyProtection="1">
      <protection locked="0"/>
    </xf>
    <xf numFmtId="0" fontId="3" fillId="4" borderId="5" xfId="0" applyFont="1" applyFill="1" applyBorder="1" applyAlignment="1" applyProtection="1">
      <alignment horizontal="left" vertical="center"/>
      <protection locked="0"/>
    </xf>
    <xf numFmtId="0" fontId="3" fillId="0" borderId="5" xfId="0" applyFont="1" applyBorder="1" applyAlignment="1" applyProtection="1">
      <alignment horizontal="left" vertical="center" wrapText="1"/>
      <protection locked="0"/>
    </xf>
    <xf numFmtId="165" fontId="0" fillId="0" borderId="7" xfId="0" applyNumberFormat="1" applyBorder="1" applyAlignment="1" applyProtection="1">
      <alignment horizontal="center" vertical="center"/>
      <protection locked="0"/>
    </xf>
    <xf numFmtId="0" fontId="0" fillId="0" borderId="5" xfId="0" applyBorder="1" applyProtection="1">
      <protection locked="0"/>
    </xf>
    <xf numFmtId="165" fontId="0" fillId="0" borderId="1" xfId="0" applyNumberFormat="1" applyBorder="1" applyAlignment="1">
      <alignment horizontal="center" vertical="center"/>
    </xf>
    <xf numFmtId="0" fontId="0" fillId="0" borderId="5" xfId="0" applyBorder="1"/>
    <xf numFmtId="0" fontId="0" fillId="0" borderId="2" xfId="0" applyBorder="1"/>
    <xf numFmtId="0" fontId="3" fillId="0" borderId="7" xfId="0" applyFont="1" applyBorder="1" applyAlignment="1" applyProtection="1">
      <alignment horizontal="left" vertical="center"/>
      <protection locked="0"/>
    </xf>
    <xf numFmtId="0" fontId="0" fillId="0" borderId="14" xfId="0" applyBorder="1" applyProtection="1">
      <protection locked="0"/>
    </xf>
    <xf numFmtId="0" fontId="3" fillId="5" borderId="7" xfId="0" applyFont="1" applyFill="1" applyBorder="1" applyAlignment="1" applyProtection="1">
      <alignment horizontal="left" vertical="center"/>
      <protection locked="0"/>
    </xf>
    <xf numFmtId="165" fontId="0" fillId="0" borderId="1" xfId="0" applyNumberFormat="1" applyBorder="1" applyAlignment="1" applyProtection="1">
      <alignment horizontal="center" vertical="center"/>
      <protection locked="0"/>
    </xf>
    <xf numFmtId="0" fontId="0" fillId="0" borderId="2" xfId="0" applyBorder="1" applyProtection="1">
      <protection locked="0"/>
    </xf>
    <xf numFmtId="0" fontId="3" fillId="0" borderId="2" xfId="0" applyFont="1" applyBorder="1" applyAlignment="1" applyProtection="1">
      <alignment horizontal="left" vertical="top" wrapText="1"/>
      <protection locked="0"/>
    </xf>
    <xf numFmtId="0" fontId="0" fillId="0" borderId="15" xfId="0" applyBorder="1" applyProtection="1">
      <protection locked="0"/>
    </xf>
    <xf numFmtId="0" fontId="0" fillId="0" borderId="13" xfId="0" applyBorder="1" applyProtection="1">
      <protection locked="0"/>
    </xf>
    <xf numFmtId="0" fontId="3" fillId="6" borderId="5" xfId="0" applyFont="1" applyFill="1" applyBorder="1" applyAlignment="1" applyProtection="1">
      <alignment horizontal="left" vertical="center"/>
      <protection locked="0"/>
    </xf>
    <xf numFmtId="0" fontId="3" fillId="0" borderId="5" xfId="0" applyFont="1" applyBorder="1" applyAlignment="1" applyProtection="1">
      <alignment horizontal="left" vertical="top" wrapText="1"/>
      <protection locked="0"/>
    </xf>
    <xf numFmtId="0" fontId="0" fillId="0" borderId="0" xfId="0" applyProtection="1">
      <protection locked="0"/>
    </xf>
    <xf numFmtId="0" fontId="1" fillId="0" borderId="16" xfId="0" applyFont="1" applyBorder="1" applyAlignment="1" applyProtection="1">
      <alignment horizontal="left" vertical="center"/>
      <protection locked="0"/>
    </xf>
    <xf numFmtId="0" fontId="0" fillId="0" borderId="8" xfId="0" applyBorder="1" applyProtection="1">
      <protection locked="0"/>
    </xf>
    <xf numFmtId="0" fontId="0" fillId="0" borderId="12" xfId="0" applyBorder="1" applyProtection="1">
      <protection locked="0"/>
    </xf>
    <xf numFmtId="0" fontId="3" fillId="0" borderId="2" xfId="0" applyFont="1" applyBorder="1" applyAlignment="1">
      <alignment horizontal="left" vertical="top" wrapText="1"/>
    </xf>
    <xf numFmtId="0" fontId="0" fillId="0" borderId="15" xfId="0" applyBorder="1"/>
    <xf numFmtId="0" fontId="0" fillId="0" borderId="13" xfId="0" applyBorder="1"/>
    <xf numFmtId="0" fontId="3" fillId="0" borderId="3" xfId="0" applyFont="1" applyBorder="1" applyAlignment="1" applyProtection="1">
      <alignment horizontal="left" vertical="center"/>
      <protection locked="0"/>
    </xf>
    <xf numFmtId="0" fontId="0" fillId="0" borderId="11" xfId="0" applyBorder="1" applyProtection="1">
      <protection locked="0"/>
    </xf>
    <xf numFmtId="0" fontId="3" fillId="5" borderId="5" xfId="0" applyFont="1" applyFill="1" applyBorder="1" applyAlignment="1" applyProtection="1">
      <alignment horizontal="left" vertical="center"/>
      <protection locked="0"/>
    </xf>
    <xf numFmtId="0" fontId="3" fillId="0" borderId="5" xfId="0" applyFont="1" applyBorder="1" applyAlignment="1">
      <alignment horizontal="left" vertical="center"/>
    </xf>
    <xf numFmtId="0" fontId="0" fillId="0" borderId="6" xfId="0" applyBorder="1"/>
    <xf numFmtId="0" fontId="3" fillId="0" borderId="7" xfId="0" applyFont="1" applyBorder="1" applyAlignment="1">
      <alignment horizontal="left" vertical="center"/>
    </xf>
    <xf numFmtId="0" fontId="0" fillId="0" borderId="14" xfId="0" applyBorder="1"/>
    <xf numFmtId="0" fontId="4" fillId="0" borderId="6" xfId="0" applyFont="1" applyBorder="1" applyAlignment="1" applyProtection="1">
      <alignment horizontal="left"/>
      <protection locked="0"/>
    </xf>
    <xf numFmtId="0" fontId="2" fillId="2" borderId="0" xfId="0" applyFont="1" applyFill="1" applyAlignment="1" applyProtection="1">
      <alignment horizontal="center"/>
      <protection locked="0"/>
    </xf>
    <xf numFmtId="0" fontId="5" fillId="0" borderId="0" xfId="0" applyFont="1" applyAlignment="1" applyProtection="1">
      <alignment horizontal="left"/>
      <protection locked="0"/>
    </xf>
    <xf numFmtId="0" fontId="1" fillId="0" borderId="17" xfId="0" applyFont="1" applyBorder="1" applyAlignment="1" applyProtection="1">
      <alignment horizontal="left" vertical="center"/>
      <protection locked="0"/>
    </xf>
    <xf numFmtId="165" fontId="0" fillId="0" borderId="3" xfId="0" applyNumberFormat="1" applyBorder="1" applyAlignment="1" applyProtection="1">
      <alignment horizontal="center" vertical="center"/>
      <protection locked="0"/>
    </xf>
  </cellXfs>
  <cellStyles count="1">
    <cellStyle name="Normal" xfId="0" builtinId="0"/>
  </cellStyles>
  <dxfs count="1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2"/>
  <sheetViews>
    <sheetView tabSelected="1" view="pageLayout" zoomScale="108" zoomScaleNormal="115" zoomScaleSheetLayoutView="115" zoomScalePageLayoutView="108" workbookViewId="0">
      <pane ySplit="20175"/>
      <selection activeCell="C15" sqref="C15"/>
      <selection pane="bottomLeft" activeCell="D2" sqref="D2"/>
    </sheetView>
  </sheetViews>
  <sheetFormatPr defaultColWidth="11.5703125" defaultRowHeight="12.75" x14ac:dyDescent="0.2"/>
  <cols>
    <col min="1" max="1" width="11.5703125" style="1" customWidth="1"/>
    <col min="2" max="3" width="31.7109375" style="1" customWidth="1"/>
    <col min="4" max="4" width="15.7109375" style="1" customWidth="1"/>
    <col min="5" max="217" width="9.140625" style="1" customWidth="1"/>
    <col min="218" max="218" width="11.5703125" style="1" customWidth="1"/>
    <col min="219" max="16384" width="11.5703125" style="1"/>
  </cols>
  <sheetData>
    <row r="1" spans="1:4" ht="20.25" customHeight="1" x14ac:dyDescent="0.3">
      <c r="A1" s="61" t="s">
        <v>0</v>
      </c>
      <c r="B1" s="45"/>
      <c r="C1" s="45"/>
      <c r="D1" s="45"/>
    </row>
    <row r="2" spans="1:4" ht="18" customHeight="1" x14ac:dyDescent="0.25">
      <c r="A2" s="59" t="s">
        <v>1</v>
      </c>
      <c r="B2" s="45"/>
      <c r="C2" s="27"/>
      <c r="D2" s="4">
        <v>151446</v>
      </c>
    </row>
    <row r="4" spans="1:4" ht="12" customHeight="1" x14ac:dyDescent="0.2">
      <c r="A4" s="62" t="s">
        <v>2</v>
      </c>
      <c r="B4" s="46" t="s">
        <v>3</v>
      </c>
      <c r="C4" s="36"/>
      <c r="D4" s="5" t="s">
        <v>4</v>
      </c>
    </row>
    <row r="5" spans="1:4" ht="13.5" customHeight="1" thickBot="1" x14ac:dyDescent="0.25">
      <c r="A5" s="47"/>
      <c r="B5" s="47"/>
      <c r="C5" s="48"/>
      <c r="D5" s="6" t="s">
        <v>5</v>
      </c>
    </row>
    <row r="6" spans="1:4" ht="12.75" customHeight="1" x14ac:dyDescent="0.2">
      <c r="A6" s="63">
        <v>46153</v>
      </c>
      <c r="B6" s="52" t="s">
        <v>6</v>
      </c>
      <c r="C6" s="53"/>
      <c r="D6" s="7">
        <v>3</v>
      </c>
    </row>
    <row r="7" spans="1:4" x14ac:dyDescent="0.2">
      <c r="A7" s="31"/>
      <c r="B7" s="26" t="s">
        <v>7</v>
      </c>
      <c r="C7" s="27"/>
      <c r="D7" s="8">
        <v>2</v>
      </c>
    </row>
    <row r="8" spans="1:4" x14ac:dyDescent="0.2">
      <c r="A8" s="31"/>
      <c r="B8" s="26" t="s">
        <v>8</v>
      </c>
      <c r="C8" s="27"/>
      <c r="D8" s="8">
        <v>2</v>
      </c>
    </row>
    <row r="9" spans="1:4" x14ac:dyDescent="0.2">
      <c r="A9" s="31"/>
      <c r="B9" s="43" t="s">
        <v>9</v>
      </c>
      <c r="C9" s="27"/>
      <c r="D9" s="8">
        <v>1</v>
      </c>
    </row>
    <row r="10" spans="1:4" x14ac:dyDescent="0.2">
      <c r="A10" s="31"/>
      <c r="B10" s="26"/>
      <c r="C10" s="27"/>
      <c r="D10" s="8"/>
    </row>
    <row r="11" spans="1:4" x14ac:dyDescent="0.2">
      <c r="A11" s="31"/>
      <c r="B11" s="2" t="s">
        <v>10</v>
      </c>
      <c r="C11" s="3" t="s">
        <v>11</v>
      </c>
      <c r="D11" s="9">
        <f>SUM(D6:D10)</f>
        <v>8</v>
      </c>
    </row>
    <row r="12" spans="1:4" ht="24.95" customHeight="1" x14ac:dyDescent="0.2">
      <c r="A12" s="31"/>
      <c r="B12" s="44" t="s">
        <v>12</v>
      </c>
      <c r="C12" s="45"/>
      <c r="D12" s="27"/>
    </row>
    <row r="13" spans="1:4" ht="12.75" customHeight="1" x14ac:dyDescent="0.2">
      <c r="A13" s="30">
        <v>46154</v>
      </c>
      <c r="B13" s="35" t="s">
        <v>13</v>
      </c>
      <c r="C13" s="36"/>
      <c r="D13" s="7">
        <v>0.5</v>
      </c>
    </row>
    <row r="14" spans="1:4" x14ac:dyDescent="0.2">
      <c r="A14" s="31"/>
      <c r="B14" s="26" t="s">
        <v>14</v>
      </c>
      <c r="C14" s="27"/>
      <c r="D14" s="8">
        <v>1</v>
      </c>
    </row>
    <row r="15" spans="1:4" x14ac:dyDescent="0.2">
      <c r="A15" s="31"/>
      <c r="B15" s="13" t="s">
        <v>15</v>
      </c>
      <c r="D15" s="1">
        <v>1</v>
      </c>
    </row>
    <row r="16" spans="1:4" x14ac:dyDescent="0.2">
      <c r="A16" s="31"/>
      <c r="B16" s="26" t="s">
        <v>16</v>
      </c>
      <c r="C16" s="27"/>
      <c r="D16" s="8">
        <v>1.5</v>
      </c>
    </row>
    <row r="17" spans="1:4" x14ac:dyDescent="0.2">
      <c r="A17" s="31"/>
      <c r="B17" s="26"/>
      <c r="C17" s="27"/>
      <c r="D17" s="8"/>
    </row>
    <row r="18" spans="1:4" x14ac:dyDescent="0.2">
      <c r="A18" s="31"/>
      <c r="B18" s="2" t="s">
        <v>10</v>
      </c>
      <c r="C18" s="3" t="s">
        <v>11</v>
      </c>
      <c r="D18" s="9">
        <f>SUM(D13:D17)</f>
        <v>4</v>
      </c>
    </row>
    <row r="19" spans="1:4" ht="24.95" customHeight="1" x14ac:dyDescent="0.2">
      <c r="A19" s="31"/>
      <c r="B19" s="44" t="s">
        <v>17</v>
      </c>
      <c r="C19" s="45"/>
      <c r="D19" s="27"/>
    </row>
    <row r="20" spans="1:4" ht="12.75" customHeight="1" x14ac:dyDescent="0.2">
      <c r="A20" s="30">
        <v>46157</v>
      </c>
      <c r="B20" s="35" t="s">
        <v>18</v>
      </c>
      <c r="C20" s="36"/>
      <c r="D20" s="7">
        <v>2</v>
      </c>
    </row>
    <row r="21" spans="1:4" x14ac:dyDescent="0.2">
      <c r="A21" s="31"/>
      <c r="B21" s="29" t="s">
        <v>19</v>
      </c>
      <c r="C21" s="27"/>
      <c r="D21" s="8">
        <v>2.5</v>
      </c>
    </row>
    <row r="22" spans="1:4" x14ac:dyDescent="0.2">
      <c r="A22" s="31"/>
      <c r="B22" s="28" t="s">
        <v>20</v>
      </c>
      <c r="C22" s="27"/>
      <c r="D22" s="8"/>
    </row>
    <row r="23" spans="1:4" x14ac:dyDescent="0.2">
      <c r="A23" s="31"/>
      <c r="B23" s="54" t="s">
        <v>21</v>
      </c>
      <c r="C23" s="27"/>
      <c r="D23" s="8">
        <v>0.5</v>
      </c>
    </row>
    <row r="24" spans="1:4" x14ac:dyDescent="0.2">
      <c r="A24" s="31"/>
      <c r="B24" s="26" t="s">
        <v>22</v>
      </c>
      <c r="C24" s="27"/>
      <c r="D24" s="1">
        <v>1</v>
      </c>
    </row>
    <row r="25" spans="1:4" x14ac:dyDescent="0.2">
      <c r="A25" s="31"/>
      <c r="B25" s="26" t="s">
        <v>23</v>
      </c>
      <c r="C25" s="27"/>
      <c r="D25" s="8">
        <v>2</v>
      </c>
    </row>
    <row r="26" spans="1:4" x14ac:dyDescent="0.2">
      <c r="A26" s="31"/>
      <c r="B26" s="2" t="s">
        <v>10</v>
      </c>
      <c r="C26" s="3" t="s">
        <v>11</v>
      </c>
      <c r="D26" s="9">
        <f>SUM(D20:D25)</f>
        <v>8</v>
      </c>
    </row>
    <row r="27" spans="1:4" ht="24.95" customHeight="1" x14ac:dyDescent="0.2">
      <c r="A27" s="31"/>
      <c r="B27" s="44" t="s">
        <v>24</v>
      </c>
      <c r="C27" s="45"/>
      <c r="D27" s="27"/>
    </row>
    <row r="28" spans="1:4" ht="12.75" customHeight="1" x14ac:dyDescent="0.2">
      <c r="A28" s="38">
        <v>46160</v>
      </c>
      <c r="B28" s="35" t="s">
        <v>25</v>
      </c>
      <c r="C28" s="36"/>
      <c r="D28" s="7">
        <v>1</v>
      </c>
    </row>
    <row r="29" spans="1:4" x14ac:dyDescent="0.2">
      <c r="A29" s="31"/>
      <c r="B29" s="26" t="s">
        <v>26</v>
      </c>
      <c r="C29" s="27"/>
      <c r="D29" s="8">
        <v>1</v>
      </c>
    </row>
    <row r="30" spans="1:4" x14ac:dyDescent="0.2">
      <c r="A30" s="31"/>
      <c r="B30" s="26" t="s">
        <v>27</v>
      </c>
      <c r="C30" s="27"/>
      <c r="D30" s="8">
        <v>1</v>
      </c>
    </row>
    <row r="31" spans="1:4" x14ac:dyDescent="0.2">
      <c r="A31" s="31"/>
      <c r="B31" s="26" t="s">
        <v>28</v>
      </c>
      <c r="C31" s="27"/>
      <c r="D31" s="8">
        <v>1</v>
      </c>
    </row>
    <row r="32" spans="1:4" x14ac:dyDescent="0.2">
      <c r="A32" s="31"/>
      <c r="B32" s="14" t="s">
        <v>29</v>
      </c>
      <c r="C32" s="15"/>
      <c r="D32" s="8">
        <v>2</v>
      </c>
    </row>
    <row r="33" spans="1:4" x14ac:dyDescent="0.2">
      <c r="A33" s="31"/>
      <c r="B33" s="14" t="s">
        <v>30</v>
      </c>
      <c r="C33" s="15"/>
      <c r="D33" s="8">
        <v>1</v>
      </c>
    </row>
    <row r="34" spans="1:4" x14ac:dyDescent="0.2">
      <c r="A34" s="31"/>
      <c r="B34" s="26" t="s">
        <v>31</v>
      </c>
      <c r="C34" s="27"/>
      <c r="D34" s="8">
        <v>1</v>
      </c>
    </row>
    <row r="35" spans="1:4" x14ac:dyDescent="0.2">
      <c r="A35" s="31"/>
      <c r="B35" s="2" t="s">
        <v>10</v>
      </c>
      <c r="C35" s="3" t="s">
        <v>11</v>
      </c>
      <c r="D35" s="9">
        <f>SUM(D28:D34)</f>
        <v>8</v>
      </c>
    </row>
    <row r="36" spans="1:4" ht="24.95" customHeight="1" x14ac:dyDescent="0.2">
      <c r="A36" s="39"/>
      <c r="B36" s="40" t="s">
        <v>32</v>
      </c>
      <c r="C36" s="41"/>
      <c r="D36" s="42"/>
    </row>
    <row r="37" spans="1:4" ht="12.75" customHeight="1" x14ac:dyDescent="0.2">
      <c r="A37" s="38">
        <v>46161</v>
      </c>
      <c r="B37" s="16" t="s">
        <v>33</v>
      </c>
      <c r="C37" s="17"/>
      <c r="D37" s="7">
        <v>0</v>
      </c>
    </row>
    <row r="38" spans="1:4" x14ac:dyDescent="0.2">
      <c r="A38" s="31"/>
      <c r="B38" s="37" t="s">
        <v>34</v>
      </c>
      <c r="C38" s="36"/>
      <c r="D38" s="8">
        <v>2</v>
      </c>
    </row>
    <row r="39" spans="1:4" x14ac:dyDescent="0.2">
      <c r="A39" s="31"/>
      <c r="B39" s="26" t="s">
        <v>35</v>
      </c>
      <c r="C39" s="27"/>
      <c r="D39" s="8">
        <v>1</v>
      </c>
    </row>
    <row r="40" spans="1:4" x14ac:dyDescent="0.2">
      <c r="A40" s="31"/>
      <c r="B40" s="26" t="s">
        <v>36</v>
      </c>
      <c r="C40" s="27"/>
      <c r="D40" s="8">
        <v>1</v>
      </c>
    </row>
    <row r="41" spans="1:4" x14ac:dyDescent="0.2">
      <c r="A41" s="31"/>
      <c r="B41" s="26"/>
      <c r="C41" s="27"/>
      <c r="D41" s="8"/>
    </row>
    <row r="42" spans="1:4" x14ac:dyDescent="0.2">
      <c r="A42" s="31"/>
      <c r="B42" s="2" t="s">
        <v>10</v>
      </c>
      <c r="C42" s="3" t="s">
        <v>11</v>
      </c>
      <c r="D42" s="9">
        <f>SUM(D37:D41)</f>
        <v>4</v>
      </c>
    </row>
    <row r="43" spans="1:4" ht="24.95" customHeight="1" x14ac:dyDescent="0.2">
      <c r="A43" s="39"/>
      <c r="B43" s="40" t="s">
        <v>37</v>
      </c>
      <c r="C43" s="41"/>
      <c r="D43" s="42"/>
    </row>
    <row r="44" spans="1:4" ht="12.75" customHeight="1" x14ac:dyDescent="0.2">
      <c r="A44" s="38">
        <v>46163</v>
      </c>
      <c r="B44" s="35" t="s">
        <v>38</v>
      </c>
      <c r="C44" s="36"/>
      <c r="D44" s="7">
        <v>2</v>
      </c>
    </row>
    <row r="45" spans="1:4" x14ac:dyDescent="0.2">
      <c r="A45" s="31"/>
      <c r="B45" s="26" t="s">
        <v>39</v>
      </c>
      <c r="C45" s="27"/>
      <c r="D45" s="8">
        <v>2</v>
      </c>
    </row>
    <row r="46" spans="1:4" x14ac:dyDescent="0.2">
      <c r="A46" s="31"/>
      <c r="B46" s="26"/>
      <c r="C46" s="27"/>
      <c r="D46" s="8"/>
    </row>
    <row r="47" spans="1:4" x14ac:dyDescent="0.2">
      <c r="A47" s="31"/>
      <c r="B47" s="26"/>
      <c r="C47" s="27"/>
      <c r="D47" s="8"/>
    </row>
    <row r="48" spans="1:4" x14ac:dyDescent="0.2">
      <c r="A48" s="31"/>
      <c r="B48" s="26"/>
      <c r="C48" s="27"/>
      <c r="D48" s="8"/>
    </row>
    <row r="49" spans="1:4" x14ac:dyDescent="0.2">
      <c r="A49" s="31"/>
      <c r="B49" s="2" t="s">
        <v>10</v>
      </c>
      <c r="C49" s="3" t="s">
        <v>11</v>
      </c>
      <c r="D49" s="9">
        <f>SUM(D44:D48)</f>
        <v>4</v>
      </c>
    </row>
    <row r="50" spans="1:4" ht="24.95" customHeight="1" x14ac:dyDescent="0.2">
      <c r="A50" s="39"/>
      <c r="B50" s="40" t="s">
        <v>40</v>
      </c>
      <c r="C50" s="41"/>
      <c r="D50" s="42"/>
    </row>
    <row r="51" spans="1:4" ht="12.75" customHeight="1" x14ac:dyDescent="0.2">
      <c r="A51" s="38">
        <v>46164</v>
      </c>
      <c r="B51" s="35" t="s">
        <v>41</v>
      </c>
      <c r="C51" s="36"/>
      <c r="D51" s="7">
        <v>1</v>
      </c>
    </row>
    <row r="52" spans="1:4" x14ac:dyDescent="0.2">
      <c r="A52" s="31"/>
      <c r="B52" s="26" t="s">
        <v>42</v>
      </c>
      <c r="C52" s="27"/>
      <c r="D52" s="8">
        <v>1</v>
      </c>
    </row>
    <row r="53" spans="1:4" x14ac:dyDescent="0.2">
      <c r="A53" s="31"/>
      <c r="B53" s="26" t="s">
        <v>43</v>
      </c>
      <c r="C53" s="27"/>
      <c r="D53" s="8">
        <v>1</v>
      </c>
    </row>
    <row r="54" spans="1:4" x14ac:dyDescent="0.2">
      <c r="A54" s="31"/>
      <c r="B54" s="26" t="s">
        <v>42</v>
      </c>
      <c r="C54" s="27"/>
      <c r="D54" s="8">
        <v>2</v>
      </c>
    </row>
    <row r="55" spans="1:4" x14ac:dyDescent="0.2">
      <c r="A55" s="31"/>
      <c r="B55" s="26" t="s">
        <v>44</v>
      </c>
      <c r="C55" s="27"/>
      <c r="D55" s="8">
        <v>1</v>
      </c>
    </row>
    <row r="56" spans="1:4" x14ac:dyDescent="0.2">
      <c r="A56" s="31"/>
      <c r="B56" s="14" t="s">
        <v>36</v>
      </c>
      <c r="C56" s="15"/>
      <c r="D56" s="8">
        <v>1</v>
      </c>
    </row>
    <row r="57" spans="1:4" x14ac:dyDescent="0.2">
      <c r="A57" s="31"/>
      <c r="B57" s="14" t="s">
        <v>45</v>
      </c>
      <c r="C57" s="15"/>
      <c r="D57" s="8">
        <v>1</v>
      </c>
    </row>
    <row r="58" spans="1:4" x14ac:dyDescent="0.2">
      <c r="A58" s="31"/>
      <c r="B58" s="2" t="s">
        <v>10</v>
      </c>
      <c r="C58" s="3" t="s">
        <v>11</v>
      </c>
      <c r="D58" s="9">
        <f>SUM(D51:D57)</f>
        <v>8</v>
      </c>
    </row>
    <row r="59" spans="1:4" ht="46.5" customHeight="1" x14ac:dyDescent="0.2">
      <c r="A59" s="39"/>
      <c r="B59" s="40" t="s">
        <v>46</v>
      </c>
      <c r="C59" s="41"/>
      <c r="D59" s="42"/>
    </row>
    <row r="60" spans="1:4" ht="12.75" customHeight="1" x14ac:dyDescent="0.2">
      <c r="A60" s="38">
        <v>46171</v>
      </c>
      <c r="B60" s="35" t="s">
        <v>47</v>
      </c>
      <c r="C60" s="36"/>
      <c r="D60" s="7">
        <v>2</v>
      </c>
    </row>
    <row r="61" spans="1:4" x14ac:dyDescent="0.2">
      <c r="A61" s="31"/>
      <c r="B61" s="26" t="s">
        <v>48</v>
      </c>
      <c r="C61" s="27"/>
      <c r="D61" s="8">
        <v>2</v>
      </c>
    </row>
    <row r="62" spans="1:4" x14ac:dyDescent="0.2">
      <c r="A62" s="31"/>
      <c r="B62" s="14" t="s">
        <v>49</v>
      </c>
      <c r="C62" s="15"/>
      <c r="D62" s="8">
        <v>0.5</v>
      </c>
    </row>
    <row r="63" spans="1:4" x14ac:dyDescent="0.2">
      <c r="A63" s="31"/>
      <c r="B63" s="26" t="s">
        <v>50</v>
      </c>
      <c r="C63" s="27"/>
      <c r="D63" s="8">
        <v>1</v>
      </c>
    </row>
    <row r="64" spans="1:4" x14ac:dyDescent="0.2">
      <c r="A64" s="31"/>
      <c r="B64" s="18" t="s">
        <v>51</v>
      </c>
      <c r="C64" s="15"/>
      <c r="D64" s="8">
        <v>1</v>
      </c>
    </row>
    <row r="65" spans="1:4" x14ac:dyDescent="0.2">
      <c r="A65" s="31"/>
      <c r="B65" s="26" t="s">
        <v>52</v>
      </c>
      <c r="C65" s="27"/>
      <c r="D65" s="8">
        <v>1</v>
      </c>
    </row>
    <row r="66" spans="1:4" x14ac:dyDescent="0.2">
      <c r="A66" s="31"/>
      <c r="B66" s="43" t="s">
        <v>53</v>
      </c>
      <c r="C66" s="27"/>
      <c r="D66" s="8">
        <v>0.5</v>
      </c>
    </row>
    <row r="67" spans="1:4" x14ac:dyDescent="0.2">
      <c r="A67" s="31"/>
    </row>
    <row r="68" spans="1:4" x14ac:dyDescent="0.2">
      <c r="A68" s="31"/>
      <c r="B68" s="2" t="s">
        <v>10</v>
      </c>
      <c r="C68" s="3" t="s">
        <v>11</v>
      </c>
      <c r="D68" s="9">
        <f>SUM(D60:D66)</f>
        <v>8</v>
      </c>
    </row>
    <row r="69" spans="1:4" ht="24.95" customHeight="1" x14ac:dyDescent="0.2">
      <c r="A69" s="39"/>
      <c r="B69" s="40" t="s">
        <v>54</v>
      </c>
      <c r="C69" s="41"/>
      <c r="D69" s="42"/>
    </row>
    <row r="70" spans="1:4" ht="12.75" customHeight="1" x14ac:dyDescent="0.2">
      <c r="A70" s="30">
        <v>46174</v>
      </c>
      <c r="B70" s="35" t="s">
        <v>55</v>
      </c>
      <c r="C70" s="36"/>
      <c r="D70" s="7">
        <v>0.5</v>
      </c>
    </row>
    <row r="71" spans="1:4" ht="12.75" customHeight="1" x14ac:dyDescent="0.2">
      <c r="A71" s="31"/>
      <c r="B71" s="14" t="s">
        <v>56</v>
      </c>
      <c r="C71" s="15"/>
      <c r="D71" s="7">
        <v>0.75</v>
      </c>
    </row>
    <row r="72" spans="1:4" x14ac:dyDescent="0.2">
      <c r="A72" s="31"/>
      <c r="B72" s="26" t="s">
        <v>57</v>
      </c>
      <c r="C72" s="27"/>
      <c r="D72" s="7">
        <v>0.75</v>
      </c>
    </row>
    <row r="73" spans="1:4" x14ac:dyDescent="0.2">
      <c r="A73" s="31"/>
      <c r="B73" s="26" t="s">
        <v>58</v>
      </c>
      <c r="C73" s="27"/>
      <c r="D73" s="1">
        <v>1</v>
      </c>
    </row>
    <row r="74" spans="1:4" x14ac:dyDescent="0.2">
      <c r="A74" s="31"/>
      <c r="B74" s="26" t="s">
        <v>59</v>
      </c>
      <c r="C74" s="27"/>
      <c r="D74" s="8">
        <v>0.5</v>
      </c>
    </row>
    <row r="75" spans="1:4" x14ac:dyDescent="0.2">
      <c r="A75" s="31"/>
      <c r="B75" s="14" t="s">
        <v>60</v>
      </c>
      <c r="C75" s="15"/>
      <c r="D75" s="8">
        <v>1</v>
      </c>
    </row>
    <row r="76" spans="1:4" x14ac:dyDescent="0.2">
      <c r="A76" s="31"/>
      <c r="B76" s="14" t="s">
        <v>61</v>
      </c>
      <c r="C76" s="15"/>
      <c r="D76" s="8">
        <v>1.5</v>
      </c>
    </row>
    <row r="77" spans="1:4" x14ac:dyDescent="0.2">
      <c r="A77" s="31"/>
      <c r="B77" s="14" t="s">
        <v>62</v>
      </c>
      <c r="C77" s="15"/>
      <c r="D77" s="1">
        <v>1</v>
      </c>
    </row>
    <row r="78" spans="1:4" x14ac:dyDescent="0.2">
      <c r="A78" s="31"/>
      <c r="B78" s="19" t="s">
        <v>63</v>
      </c>
      <c r="C78" s="20"/>
    </row>
    <row r="79" spans="1:4" x14ac:dyDescent="0.2">
      <c r="A79" s="31"/>
      <c r="B79" s="54" t="s">
        <v>64</v>
      </c>
      <c r="C79" s="27"/>
      <c r="D79" s="8">
        <v>1</v>
      </c>
    </row>
    <row r="80" spans="1:4" x14ac:dyDescent="0.2">
      <c r="A80" s="31"/>
      <c r="B80" s="2" t="s">
        <v>10</v>
      </c>
      <c r="C80" s="3" t="s">
        <v>11</v>
      </c>
      <c r="D80" s="9">
        <f>SUM(D70:D79)</f>
        <v>8</v>
      </c>
    </row>
    <row r="81" spans="1:4" ht="51.75" customHeight="1" x14ac:dyDescent="0.2">
      <c r="A81" s="31"/>
      <c r="B81" s="44" t="s">
        <v>65</v>
      </c>
      <c r="C81" s="45"/>
      <c r="D81" s="27"/>
    </row>
    <row r="82" spans="1:4" ht="12.75" customHeight="1" x14ac:dyDescent="0.2">
      <c r="A82" s="38">
        <v>46175</v>
      </c>
      <c r="B82" s="35" t="s">
        <v>66</v>
      </c>
      <c r="C82" s="36"/>
      <c r="D82" s="7">
        <v>2</v>
      </c>
    </row>
    <row r="83" spans="1:4" x14ac:dyDescent="0.2">
      <c r="A83" s="31"/>
      <c r="B83" s="26" t="s">
        <v>36</v>
      </c>
      <c r="C83" s="27"/>
      <c r="D83" s="8">
        <v>3</v>
      </c>
    </row>
    <row r="84" spans="1:4" x14ac:dyDescent="0.2">
      <c r="A84" s="31"/>
      <c r="B84" s="26" t="s">
        <v>67</v>
      </c>
      <c r="C84" s="27"/>
      <c r="D84" s="8">
        <v>2</v>
      </c>
    </row>
    <row r="85" spans="1:4" x14ac:dyDescent="0.2">
      <c r="A85" s="31"/>
      <c r="B85" s="26" t="s">
        <v>68</v>
      </c>
      <c r="C85" s="27"/>
      <c r="D85" s="8">
        <v>1</v>
      </c>
    </row>
    <row r="86" spans="1:4" x14ac:dyDescent="0.2">
      <c r="A86" s="31"/>
      <c r="B86" s="26"/>
      <c r="C86" s="27"/>
      <c r="D86" s="8"/>
    </row>
    <row r="87" spans="1:4" x14ac:dyDescent="0.2">
      <c r="A87" s="31"/>
      <c r="B87" s="2" t="s">
        <v>10</v>
      </c>
      <c r="C87" s="3" t="s">
        <v>11</v>
      </c>
      <c r="D87" s="9">
        <f>SUM(D82:D86)</f>
        <v>8</v>
      </c>
    </row>
    <row r="88" spans="1:4" ht="24.95" customHeight="1" x14ac:dyDescent="0.2">
      <c r="A88" s="39"/>
      <c r="B88" s="40" t="s">
        <v>69</v>
      </c>
      <c r="C88" s="41"/>
      <c r="D88" s="42"/>
    </row>
    <row r="89" spans="1:4" ht="12.75" customHeight="1" x14ac:dyDescent="0.2">
      <c r="A89" s="38">
        <v>46178</v>
      </c>
      <c r="B89" s="35" t="s">
        <v>70</v>
      </c>
      <c r="C89" s="36"/>
      <c r="D89" s="7">
        <v>4</v>
      </c>
    </row>
    <row r="90" spans="1:4" x14ac:dyDescent="0.2">
      <c r="A90" s="31"/>
      <c r="B90" s="26" t="s">
        <v>71</v>
      </c>
      <c r="C90" s="27"/>
      <c r="D90" s="8">
        <v>2</v>
      </c>
    </row>
    <row r="91" spans="1:4" x14ac:dyDescent="0.2">
      <c r="A91" s="31"/>
      <c r="B91" s="26" t="s">
        <v>72</v>
      </c>
      <c r="C91" s="27"/>
      <c r="D91" s="8">
        <v>1</v>
      </c>
    </row>
    <row r="92" spans="1:4" x14ac:dyDescent="0.2">
      <c r="A92" s="31"/>
      <c r="B92" s="26" t="s">
        <v>73</v>
      </c>
      <c r="C92" s="27"/>
      <c r="D92" s="8">
        <v>1</v>
      </c>
    </row>
    <row r="93" spans="1:4" x14ac:dyDescent="0.2">
      <c r="A93" s="31"/>
      <c r="B93" s="26"/>
      <c r="C93" s="27"/>
      <c r="D93" s="8"/>
    </row>
    <row r="94" spans="1:4" x14ac:dyDescent="0.2">
      <c r="A94" s="31"/>
      <c r="B94" s="2" t="s">
        <v>10</v>
      </c>
      <c r="C94" s="3" t="s">
        <v>11</v>
      </c>
      <c r="D94" s="9">
        <f>SUM(D89:D93)</f>
        <v>8</v>
      </c>
    </row>
    <row r="95" spans="1:4" ht="24.95" customHeight="1" x14ac:dyDescent="0.2">
      <c r="A95" s="39"/>
      <c r="B95" s="40" t="s">
        <v>74</v>
      </c>
      <c r="C95" s="41"/>
      <c r="D95" s="42"/>
    </row>
    <row r="96" spans="1:4" ht="12" customHeight="1" x14ac:dyDescent="0.2">
      <c r="A96" s="32">
        <v>46181</v>
      </c>
      <c r="B96" s="57" t="s">
        <v>75</v>
      </c>
      <c r="C96" s="58"/>
      <c r="D96" s="21">
        <v>3</v>
      </c>
    </row>
    <row r="97" spans="1:4" x14ac:dyDescent="0.2">
      <c r="A97" s="33"/>
      <c r="B97" s="55" t="s">
        <v>76</v>
      </c>
      <c r="C97" s="56"/>
      <c r="D97" s="22">
        <v>1</v>
      </c>
    </row>
    <row r="98" spans="1:4" x14ac:dyDescent="0.2">
      <c r="A98" s="33"/>
      <c r="B98" s="55"/>
      <c r="C98" s="56"/>
      <c r="D98" s="22"/>
    </row>
    <row r="99" spans="1:4" x14ac:dyDescent="0.2">
      <c r="A99" s="33"/>
      <c r="B99" s="23" t="s">
        <v>10</v>
      </c>
      <c r="C99" s="24" t="s">
        <v>11</v>
      </c>
      <c r="D99" s="25">
        <f>SUM(D96:D98)</f>
        <v>4</v>
      </c>
    </row>
    <row r="100" spans="1:4" ht="48" customHeight="1" x14ac:dyDescent="0.2">
      <c r="A100" s="34"/>
      <c r="B100" s="49" t="s">
        <v>77</v>
      </c>
      <c r="C100" s="50"/>
      <c r="D100" s="51"/>
    </row>
    <row r="101" spans="1:4" x14ac:dyDescent="0.2">
      <c r="A101" s="11"/>
      <c r="B101" s="10"/>
      <c r="C101" s="3" t="s">
        <v>78</v>
      </c>
      <c r="D101" s="12">
        <f>D11+D18+D26+D35+D42+D49+D58+D68+D80+D87+D94+D99</f>
        <v>80</v>
      </c>
    </row>
    <row r="102" spans="1:4" x14ac:dyDescent="0.2">
      <c r="A102" s="60" t="s">
        <v>79</v>
      </c>
      <c r="B102" s="45"/>
      <c r="C102" s="45"/>
      <c r="D102" s="45"/>
    </row>
  </sheetData>
  <mergeCells count="86">
    <mergeCell ref="A1:D1"/>
    <mergeCell ref="B44:C44"/>
    <mergeCell ref="A70:A81"/>
    <mergeCell ref="A4:A5"/>
    <mergeCell ref="B34:C34"/>
    <mergeCell ref="B50:D50"/>
    <mergeCell ref="B28:C28"/>
    <mergeCell ref="B9:C9"/>
    <mergeCell ref="B30:C30"/>
    <mergeCell ref="B20:C20"/>
    <mergeCell ref="B45:C45"/>
    <mergeCell ref="B12:D12"/>
    <mergeCell ref="B47:C47"/>
    <mergeCell ref="B46:C46"/>
    <mergeCell ref="A37:A43"/>
    <mergeCell ref="B69:D69"/>
    <mergeCell ref="A2:C2"/>
    <mergeCell ref="A102:D102"/>
    <mergeCell ref="B52:C52"/>
    <mergeCell ref="B98:C98"/>
    <mergeCell ref="A60:A69"/>
    <mergeCell ref="B60:C60"/>
    <mergeCell ref="B17:C17"/>
    <mergeCell ref="B82:C82"/>
    <mergeCell ref="B83:C83"/>
    <mergeCell ref="B92:C92"/>
    <mergeCell ref="B85:C85"/>
    <mergeCell ref="A89:A95"/>
    <mergeCell ref="B39:C39"/>
    <mergeCell ref="B70:C70"/>
    <mergeCell ref="B48:C48"/>
    <mergeCell ref="B23:C23"/>
    <mergeCell ref="B100:D100"/>
    <mergeCell ref="B6:C6"/>
    <mergeCell ref="B59:D59"/>
    <mergeCell ref="A20:A27"/>
    <mergeCell ref="B89:C89"/>
    <mergeCell ref="B79:C79"/>
    <mergeCell ref="B97:C97"/>
    <mergeCell ref="B54:C54"/>
    <mergeCell ref="B7:C7"/>
    <mergeCell ref="B72:C72"/>
    <mergeCell ref="B96:C96"/>
    <mergeCell ref="B8:C8"/>
    <mergeCell ref="B95:D95"/>
    <mergeCell ref="B73:C73"/>
    <mergeCell ref="B10:C10"/>
    <mergeCell ref="B65:C65"/>
    <mergeCell ref="B19:D19"/>
    <mergeCell ref="B53:C53"/>
    <mergeCell ref="A44:A50"/>
    <mergeCell ref="B4:C5"/>
    <mergeCell ref="B36:D36"/>
    <mergeCell ref="B29:C29"/>
    <mergeCell ref="A51:A59"/>
    <mergeCell ref="B27:D27"/>
    <mergeCell ref="A6:A12"/>
    <mergeCell ref="A13:A19"/>
    <mergeCell ref="A96:A100"/>
    <mergeCell ref="B61:C61"/>
    <mergeCell ref="B14:C14"/>
    <mergeCell ref="B13:C13"/>
    <mergeCell ref="B38:C38"/>
    <mergeCell ref="A28:A36"/>
    <mergeCell ref="B40:C40"/>
    <mergeCell ref="B55:C55"/>
    <mergeCell ref="B24:C24"/>
    <mergeCell ref="A82:A88"/>
    <mergeCell ref="B51:C51"/>
    <mergeCell ref="B63:C63"/>
    <mergeCell ref="B43:D43"/>
    <mergeCell ref="B41:C41"/>
    <mergeCell ref="B16:C16"/>
    <mergeCell ref="B91:C91"/>
    <mergeCell ref="B22:C22"/>
    <mergeCell ref="B93:C93"/>
    <mergeCell ref="B31:C31"/>
    <mergeCell ref="B21:C21"/>
    <mergeCell ref="B86:C86"/>
    <mergeCell ref="B25:C25"/>
    <mergeCell ref="B90:C90"/>
    <mergeCell ref="B88:D88"/>
    <mergeCell ref="B66:C66"/>
    <mergeCell ref="B84:C84"/>
    <mergeCell ref="B81:D81"/>
    <mergeCell ref="B74:C74"/>
  </mergeCells>
  <conditionalFormatting sqref="D6:D11 D13:D14 D16:D18 D20:D23 D25:D26 D60:D66 D68 D70:D72 D74:D76 D79:D80">
    <cfRule type="containsText" dxfId="15" priority="23" operator="containsText" text="Terminé">
      <formula>NOT(ISERROR(SEARCH("Terminé",D6)))</formula>
    </cfRule>
    <cfRule type="containsText" dxfId="14" priority="24" operator="containsText" text="En cours">
      <formula>NOT(ISERROR(SEARCH("En cours",D6)))</formula>
    </cfRule>
  </conditionalFormatting>
  <conditionalFormatting sqref="D28:D35">
    <cfRule type="containsText" dxfId="13" priority="19" operator="containsText" text="Terminé">
      <formula>NOT(ISERROR(SEARCH("Terminé",D28)))</formula>
    </cfRule>
    <cfRule type="containsText" dxfId="12" priority="20" operator="containsText" text="En cours">
      <formula>NOT(ISERROR(SEARCH("En cours",D28)))</formula>
    </cfRule>
  </conditionalFormatting>
  <conditionalFormatting sqref="D37:D42">
    <cfRule type="containsText" dxfId="11" priority="17" operator="containsText" text="Terminé">
      <formula>NOT(ISERROR(SEARCH("Terminé",D37)))</formula>
    </cfRule>
    <cfRule type="containsText" dxfId="10" priority="18" operator="containsText" text="En cours">
      <formula>NOT(ISERROR(SEARCH("En cours",D37)))</formula>
    </cfRule>
  </conditionalFormatting>
  <conditionalFormatting sqref="D44:D49">
    <cfRule type="containsText" dxfId="9" priority="9" operator="containsText" text="Terminé">
      <formula>NOT(ISERROR(SEARCH("Terminé",D44)))</formula>
    </cfRule>
    <cfRule type="containsText" dxfId="8" priority="10" operator="containsText" text="En cours">
      <formula>NOT(ISERROR(SEARCH("En cours",D44)))</formula>
    </cfRule>
  </conditionalFormatting>
  <conditionalFormatting sqref="D51:D58">
    <cfRule type="containsText" dxfId="7" priority="7" operator="containsText" text="Terminé">
      <formula>NOT(ISERROR(SEARCH("Terminé",D51)))</formula>
    </cfRule>
    <cfRule type="containsText" dxfId="6" priority="8" operator="containsText" text="En cours">
      <formula>NOT(ISERROR(SEARCH("En cours",D51)))</formula>
    </cfRule>
  </conditionalFormatting>
  <conditionalFormatting sqref="D82:D87">
    <cfRule type="containsText" dxfId="5" priority="13" operator="containsText" text="Terminé">
      <formula>NOT(ISERROR(SEARCH("Terminé",D82)))</formula>
    </cfRule>
    <cfRule type="containsText" dxfId="4" priority="14" operator="containsText" text="En cours">
      <formula>NOT(ISERROR(SEARCH("En cours",D82)))</formula>
    </cfRule>
  </conditionalFormatting>
  <conditionalFormatting sqref="D89:D94">
    <cfRule type="containsText" dxfId="3" priority="11" operator="containsText" text="Terminé">
      <formula>NOT(ISERROR(SEARCH("Terminé",D89)))</formula>
    </cfRule>
    <cfRule type="containsText" dxfId="2" priority="12" operator="containsText" text="En cours">
      <formula>NOT(ISERROR(SEARCH("En cours",D89)))</formula>
    </cfRule>
  </conditionalFormatting>
  <conditionalFormatting sqref="D96">
    <cfRule type="containsText" dxfId="1" priority="1" operator="containsText" text="Terminé">
      <formula>NOT(ISERROR(SEARCH("Terminé",D96)))</formula>
    </cfRule>
    <cfRule type="containsText" dxfId="0" priority="2" operator="containsText" text="En cours">
      <formula>NOT(ISERROR(SEARCH("En cours",D96)))</formula>
    </cfRule>
  </conditionalFormatting>
  <printOptions horizontalCentered="1"/>
  <pageMargins left="0.47244094488188981" right="0.15748031496062989" top="1.4566929133858271" bottom="0.43307086614173229" header="0.31496062992125978" footer="0.19685039370078741"/>
  <pageSetup paperSize="9" orientation="portrait" r:id="rId1"/>
  <headerFooter alignWithMargins="0">
    <oddHeader>&amp;L&amp;"Arial,Gras"&amp;14Informaticien/-ne CFC&amp;"Arial,Normal"&amp;10 Travail pratique individuel 2026 (TPI)&amp;R&amp;"Arial,Gras"&amp;14 &amp;G</oddHeader>
    <oddFooter>&amp;L&amp;8 &amp;F&amp;R&amp;8 Page &amp;P/&amp;N</oddFooter>
  </headerFooter>
  <rowBreaks count="2" manualBreakCount="2">
    <brk id="50" max="16383" man="1"/>
    <brk id="96" max="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Thibaud Gamez</cp:lastModifiedBy>
  <cp:lastPrinted>2024-10-20T08:57:22Z</cp:lastPrinted>
  <dcterms:created xsi:type="dcterms:W3CDTF">2002-03-11T12:50:08Z</dcterms:created>
  <dcterms:modified xsi:type="dcterms:W3CDTF">2026-06-08T08:48:05Z</dcterms:modified>
</cp:coreProperties>
</file>